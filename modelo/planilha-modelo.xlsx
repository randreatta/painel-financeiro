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Receitas Rodrigo" sheetId="2" state="visible" r:id="rId4"/>
    <sheet name="Receitas Esposa" sheetId="3" state="visible" r:id="rId5"/>
    <sheet name="Despesas Rodrigo" sheetId="4" state="visible" r:id="rId6"/>
    <sheet name="Despesas Esposa" sheetId="5" state="visible" r:id="rId7"/>
    <sheet name="Despesas Casal" sheetId="6" state="visible" r:id="rId8"/>
    <sheet name="Parcelas" sheetId="7" state="visible" r:id="rId9"/>
    <sheet name="Investimentos" sheetId="8" state="visible" r:id="rId10"/>
    <sheet name="Cartões" sheetId="9" state="visible" r:id="rId11"/>
    <sheet name="Premissas" sheetId="10" state="visible" r:id="rId12"/>
    <sheet name="Lançamento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<sst xmlns="http://schemas.openxmlformats.org/spreadsheetml/2006/main" count="967" uniqueCount="167">
  <si>
    <t xml:space="preserve">Planilha financeira do casal — guia rápido</t>
  </si>
  <si>
    <t xml:space="preserve">Como preencher</t>
  </si>
  <si>
    <t xml:space="preserve">Edite só as células em AZUL. As colunas pretas são calculadas. Não mude os cabeçalhos.</t>
  </si>
  <si>
    <t xml:space="preserve">Abas de cada um</t>
  </si>
  <si>
    <t xml:space="preserve">'Receitas Rodrigo' e 'Despesas Rodrigo' são do Rodrigo; 'Receitas Esposa' e 'Despesas Esposa' são dela. Cada um lança só o que é pessoal.</t>
  </si>
  <si>
    <t xml:space="preserve">Nome dela</t>
  </si>
  <si>
    <t xml:space="preserve">Para trocar 'Esposa' pelo nome dela: renomeie as duas abas ('Receitas Esposa' e 'Despesas Esposa') E o valor 'pessoa_2' na aba Premissas. As listas suspensas aceitam o nome novo (ou ajuste em Dados &gt; Validação).</t>
  </si>
  <si>
    <t xml:space="preserve">Despesas Casal</t>
  </si>
  <si>
    <t xml:space="preserve">Gastos da casa (aluguel, energia, mercado…). A coluna 'Pago por' diz quem paga de fato; o painel calcula quanto cada um deveria pagar e quem deve transferir quanto.</t>
  </si>
  <si>
    <t xml:space="preserve">Divisão do casal</t>
  </si>
  <si>
    <t xml:space="preserve">Na aba Premissas: 'Proporcional à renda' (quem ganha mais paga mais), 'Igual (50/50)' ou 'Percentual fixo' (define a parte do pessoa_1).</t>
  </si>
  <si>
    <t xml:space="preserve">Frequência</t>
  </si>
  <si>
    <t xml:space="preserve">Mensal (todo mês entre Início e Fim; vazio = sempre), Anual (todo ano no mês do Início) ou Única (só no mês do Início).</t>
  </si>
  <si>
    <t xml:space="preserve">Reajusta?</t>
  </si>
  <si>
    <t xml:space="preserve">Receitas: 'Sim' aplica o reajuste salarial anual. Despesas: 'Sim' corrige pela inflação.</t>
  </si>
  <si>
    <t xml:space="preserve">Tipo (Despesas)</t>
  </si>
  <si>
    <t xml:space="preserve">Fixa ou Variável. Os cenários otimista/pessimista mexem só nas variáveis.</t>
  </si>
  <si>
    <t xml:space="preserve">De quem</t>
  </si>
  <si>
    <t xml:space="preserve">Em Parcelas, Investimentos e Lançamentos: Rodrigo, Esposa ou Casal (vazio = Casal).</t>
  </si>
  <si>
    <t xml:space="preserve">Cartões</t>
  </si>
  <si>
    <t xml:space="preserve">Cadastre os cartões na aba Cartões e marque na coluna 'Cartão' (Despesas e Parcelas) o que é cobrado em cada um. Vazio = Pix/débito/boleto. O painel monta a fatura de cada cartão.</t>
  </si>
  <si>
    <t xml:space="preserve">Lançamentos</t>
  </si>
  <si>
    <t xml:space="preserve">Opcional: o que realmente aconteceu. Alimenta o gráfico de histórico.</t>
  </si>
  <si>
    <t xml:space="preserve">Dados de exemplo</t>
  </si>
  <si>
    <t xml:space="preserve">Tudo que está preenchido é exemplo. Apague e coloque os seus valores.</t>
  </si>
  <si>
    <t xml:space="preserve">Resumo mensal (equivalente)</t>
  </si>
  <si>
    <t xml:space="preserve">Receita Rodrigo</t>
  </si>
  <si>
    <t xml:space="preserve">Receita Esposa</t>
  </si>
  <si>
    <t xml:space="preserve">Despesas pessoais Rodrigo</t>
  </si>
  <si>
    <t xml:space="preserve">Despesas pessoais Esposa</t>
  </si>
  <si>
    <t xml:space="preserve">Despesas do casal</t>
  </si>
  <si>
    <t xml:space="preserve">Parcelas do mês</t>
  </si>
  <si>
    <t xml:space="preserve">Aportes mensais</t>
  </si>
  <si>
    <t xml:space="preserve">Sobra estimada da casa</t>
  </si>
  <si>
    <t xml:space="preserve">Itens anuais entram como 1/12 por mês; itens únicos ficam fora deste resumo (o painel considera todos no mês certo).</t>
  </si>
  <si>
    <t xml:space="preserve">Descrição</t>
  </si>
  <si>
    <t xml:space="preserve">Categoria</t>
  </si>
  <si>
    <t xml:space="preserve">Valor</t>
  </si>
  <si>
    <t xml:space="preserve">Início</t>
  </si>
  <si>
    <t xml:space="preserve">Fim</t>
  </si>
  <si>
    <t xml:space="preserve">Mensal equiv.</t>
  </si>
  <si>
    <t xml:space="preserve">Salário líquido</t>
  </si>
  <si>
    <t xml:space="preserve">Salário</t>
  </si>
  <si>
    <t xml:space="preserve">Mensal</t>
  </si>
  <si>
    <t xml:space="preserve">Sim</t>
  </si>
  <si>
    <t xml:space="preserve">Freela (contrato)</t>
  </si>
  <si>
    <t xml:space="preserve">Extra</t>
  </si>
  <si>
    <t xml:space="preserve">Não</t>
  </si>
  <si>
    <t xml:space="preserve">13º salário</t>
  </si>
  <si>
    <t xml:space="preserve">Anual</t>
  </si>
  <si>
    <t xml:space="preserve">1/3 de férias</t>
  </si>
  <si>
    <t xml:space="preserve">Restituição do IR</t>
  </si>
  <si>
    <t xml:space="preserve">Única</t>
  </si>
  <si>
    <t xml:space="preserve">Tipo</t>
  </si>
  <si>
    <t xml:space="preserve">Cartão</t>
  </si>
  <si>
    <t xml:space="preserve">Celular</t>
  </si>
  <si>
    <t xml:space="preserve">Serviços</t>
  </si>
  <si>
    <t xml:space="preserve">Fixa</t>
  </si>
  <si>
    <t xml:space="preserve">Nubank Rodrigo</t>
  </si>
  <si>
    <t xml:space="preserve">Plano de saúde</t>
  </si>
  <si>
    <t xml:space="preserve">Saúde</t>
  </si>
  <si>
    <t xml:space="preserve">Academia</t>
  </si>
  <si>
    <t xml:space="preserve">Combustível</t>
  </si>
  <si>
    <t xml:space="preserve">Transporte</t>
  </si>
  <si>
    <t xml:space="preserve">Variável</t>
  </si>
  <si>
    <t xml:space="preserve">Lazer pessoal</t>
  </si>
  <si>
    <t xml:space="preserve">Lazer</t>
  </si>
  <si>
    <t xml:space="preserve">Seguro do carro</t>
  </si>
  <si>
    <t xml:space="preserve">IPVA</t>
  </si>
  <si>
    <t xml:space="preserve">Pilates</t>
  </si>
  <si>
    <t xml:space="preserve">Itaú Esposa</t>
  </si>
  <si>
    <t xml:space="preserve">Transporte (app/ônibus)</t>
  </si>
  <si>
    <t xml:space="preserve">Cuidados pessoais</t>
  </si>
  <si>
    <t xml:space="preserve">Cuidados</t>
  </si>
  <si>
    <t xml:space="preserve">Roupas</t>
  </si>
  <si>
    <t xml:space="preserve">Compras</t>
  </si>
  <si>
    <t xml:space="preserve">Pago por</t>
  </si>
  <si>
    <t xml:space="preserve">Aluguel</t>
  </si>
  <si>
    <t xml:space="preserve">Moradia</t>
  </si>
  <si>
    <t xml:space="preserve">Rodrigo</t>
  </si>
  <si>
    <t xml:space="preserve">Condomínio</t>
  </si>
  <si>
    <t xml:space="preserve">Esposa</t>
  </si>
  <si>
    <t xml:space="preserve">Energia</t>
  </si>
  <si>
    <t xml:space="preserve">Água e gás</t>
  </si>
  <si>
    <t xml:space="preserve">Internet</t>
  </si>
  <si>
    <t xml:space="preserve">Mercado</t>
  </si>
  <si>
    <t xml:space="preserve">Alimentação</t>
  </si>
  <si>
    <t xml:space="preserve">Conta conjunta</t>
  </si>
  <si>
    <t xml:space="preserve">Restaurantes e delivery</t>
  </si>
  <si>
    <t xml:space="preserve">Streaming</t>
  </si>
  <si>
    <t xml:space="preserve">Passeios juntos</t>
  </si>
  <si>
    <t xml:space="preserve">Presentes de Natal</t>
  </si>
  <si>
    <t xml:space="preserve">Viagem de férias</t>
  </si>
  <si>
    <t xml:space="preserve">Parcela</t>
  </si>
  <si>
    <t xml:space="preserve">Restantes</t>
  </si>
  <si>
    <t xml:space="preserve">Próxima</t>
  </si>
  <si>
    <t xml:space="preserve">Total restante</t>
  </si>
  <si>
    <t xml:space="preserve">Última parcela</t>
  </si>
  <si>
    <t xml:space="preserve">Notebook</t>
  </si>
  <si>
    <t xml:space="preserve">Geladeira</t>
  </si>
  <si>
    <t xml:space="preserve">Casa</t>
  </si>
  <si>
    <t xml:space="preserve">Casal</t>
  </si>
  <si>
    <t xml:space="preserve">Curso de inglês</t>
  </si>
  <si>
    <t xml:space="preserve">Educação</t>
  </si>
  <si>
    <t xml:space="preserve">Saldo atual</t>
  </si>
  <si>
    <t xml:space="preserve">Aporte mensal</t>
  </si>
  <si>
    <t xml:space="preserve">Rentabilidade anual</t>
  </si>
  <si>
    <t xml:space="preserve">Reserva de emergência</t>
  </si>
  <si>
    <t xml:space="preserve">Rentabilidades são exemplos: ajuste para o que você espera de cada aplicação.</t>
  </si>
  <si>
    <t xml:space="preserve">Longo prazo</t>
  </si>
  <si>
    <t xml:space="preserve">Previdência</t>
  </si>
  <si>
    <t xml:space="preserve">Fechamento (dia)</t>
  </si>
  <si>
    <t xml:space="preserve">Vencimento (dia)</t>
  </si>
  <si>
    <t xml:space="preserve">Limite</t>
  </si>
  <si>
    <t xml:space="preserve">Vazio na coluna 'Cartão' das despesas = Pix, débito ou boleto. No cartão, o gasto entra na fatura do mês seguinte.</t>
  </si>
  <si>
    <t xml:space="preserve">Chave</t>
  </si>
  <si>
    <t xml:space="preserve">Parâmetro</t>
  </si>
  <si>
    <t xml:space="preserve">Observação</t>
  </si>
  <si>
    <t xml:space="preserve">pessoa_1</t>
  </si>
  <si>
    <t xml:space="preserve">Nome da pessoa 1</t>
  </si>
  <si>
    <t xml:space="preserve">Igual ao final do nome das abas 'Receitas …' e 'Despesas …'.</t>
  </si>
  <si>
    <t xml:space="preserve">pessoa_2</t>
  </si>
  <si>
    <t xml:space="preserve">Nome da pessoa 2</t>
  </si>
  <si>
    <t xml:space="preserve">Troque pelo nome dela e renomeie as abas dela igual.</t>
  </si>
  <si>
    <t xml:space="preserve">divisao_casal</t>
  </si>
  <si>
    <t xml:space="preserve">Como dividir as despesas do casal</t>
  </si>
  <si>
    <t xml:space="preserve">Proporcional à renda</t>
  </si>
  <si>
    <t xml:space="preserve">Proporcional à renda / Igual (50/50) / Percentual fixo.</t>
  </si>
  <si>
    <t xml:space="preserve">percentual_pessoa_1</t>
  </si>
  <si>
    <t xml:space="preserve">Parte da pessoa 1 (se Percentual fixo)</t>
  </si>
  <si>
    <t xml:space="preserve">Só vale com 'Percentual fixo'. A pessoa 2 fica com o restante.</t>
  </si>
  <si>
    <t xml:space="preserve">saldo_conta</t>
  </si>
  <si>
    <t xml:space="preserve">Saldo em conta hoje (somando os dois)</t>
  </si>
  <si>
    <t xml:space="preserve">Dinheiro parado em conta corrente, fora dos investimentos.</t>
  </si>
  <si>
    <t xml:space="preserve">inflacao</t>
  </si>
  <si>
    <t xml:space="preserve">Inflação anual esperada</t>
  </si>
  <si>
    <t xml:space="preserve">Exemplo. Corrige despesas com 'Reajusta? = Sim'.</t>
  </si>
  <si>
    <t xml:space="preserve">reajuste_salarial</t>
  </si>
  <si>
    <t xml:space="preserve">Reajuste salarial anual</t>
  </si>
  <si>
    <t xml:space="preserve">Exemplo. Aplica nas receitas com 'Reajusta? = Sim'.</t>
  </si>
  <si>
    <t xml:space="preserve">mes_reajuste</t>
  </si>
  <si>
    <t xml:space="preserve">Mês do reajuste salarial (1 a 12)</t>
  </si>
  <si>
    <t xml:space="preserve">Ex.: 5 = maio.</t>
  </si>
  <si>
    <t xml:space="preserve">meses_projecao</t>
  </si>
  <si>
    <t xml:space="preserve">Meses de projeção</t>
  </si>
  <si>
    <t xml:space="preserve">Quantos meses à frente o painel projeta.</t>
  </si>
  <si>
    <t xml:space="preserve">meta_reserva_meses</t>
  </si>
  <si>
    <t xml:space="preserve">Meta de reserva (meses de despesa)</t>
  </si>
  <si>
    <t xml:space="preserve">Indicador de reserva de emergência.</t>
  </si>
  <si>
    <t xml:space="preserve">otimista_variaveis</t>
  </si>
  <si>
    <t xml:space="preserve">Otimista: ajuste nas despesas variáveis</t>
  </si>
  <si>
    <t xml:space="preserve">-5% = gastar 5% menos nas variáveis.</t>
  </si>
  <si>
    <t xml:space="preserve">otimista_inflacao</t>
  </si>
  <si>
    <t xml:space="preserve">Otimista: ajuste na inflação (p.p.)</t>
  </si>
  <si>
    <t xml:space="preserve">-1 p.p. sobre a inflação esperada.</t>
  </si>
  <si>
    <t xml:space="preserve">pessimista_variaveis</t>
  </si>
  <si>
    <t xml:space="preserve">Pessimista: ajuste nas despesas variáveis</t>
  </si>
  <si>
    <t xml:space="preserve">+15% nas variáveis.</t>
  </si>
  <si>
    <t xml:space="preserve">pessimista_inflacao</t>
  </si>
  <si>
    <t xml:space="preserve">Pessimista: ajuste na inflação (p.p.)</t>
  </si>
  <si>
    <t xml:space="preserve">+2 p.p. sobre a inflação esperada.</t>
  </si>
  <si>
    <t xml:space="preserve">Data</t>
  </si>
  <si>
    <t xml:space="preserve">Despesa</t>
  </si>
  <si>
    <t xml:space="preserve">Receita</t>
  </si>
  <si>
    <t xml:space="preserve">Notebook (parcela)</t>
  </si>
  <si>
    <t xml:space="preserve">Geladeira (parcela)</t>
  </si>
  <si>
    <t xml:space="preserve">Curso de inglês (parcela)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</si>
</sst>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;&quot;-R$ &quot;#,##0.00;\-"/>
    <numFmt numFmtId="166" formatCode="dd/mm/yyyy"/>
    <numFmt numFmtId="167" formatCode="0.0%"/>
    <numFmt numFmtId="168" formatCode="0"/>
    <numFmt numFmtId="169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99"/>
      </patternFill>
    </fill>
    <fill>
      <patternFill patternType="solid">
        <fgColor rgb="FF6B2F5F"/>
        <bgColor rgb="FF993366"/>
      </patternFill>
    </fill>
    <fill>
      <patternFill patternType="solid">
        <fgColor rgb="FF2F5F3A"/>
        <bgColor rgb="FF1F3A5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2F5F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2F5F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1</v>
      </c>
      <c r="B3" s="4" t="s">
        <v>2</v>
      </c>
    </row>
    <row r="4" customFormat="false" ht="26.85" hidden="false" customHeight="false" outlineLevel="0" collapsed="false">
      <c r="A4" s="3" t="s">
        <v>3</v>
      </c>
      <c r="B4" s="4" t="s">
        <v>4</v>
      </c>
    </row>
    <row r="5" customFormat="false" ht="39.55" hidden="false" customHeight="false" outlineLevel="0" collapsed="false">
      <c r="A5" s="3" t="s">
        <v>5</v>
      </c>
      <c r="B5" s="4" t="s">
        <v>6</v>
      </c>
    </row>
    <row r="6" customFormat="false" ht="26.85" hidden="false" customHeight="false" outlineLevel="0" collapsed="false">
      <c r="A6" s="3" t="s">
        <v>7</v>
      </c>
      <c r="B6" s="4" t="s">
        <v>8</v>
      </c>
    </row>
    <row r="7" customFormat="false" ht="26.85" hidden="false" customHeight="false" outlineLevel="0" collapsed="false">
      <c r="A7" s="3" t="s">
        <v>9</v>
      </c>
      <c r="B7" s="4" t="s">
        <v>10</v>
      </c>
    </row>
    <row r="8" customFormat="false" ht="26.8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3" t="s">
        <v>17</v>
      </c>
      <c r="B11" s="4" t="s">
        <v>18</v>
      </c>
    </row>
    <row r="12" customFormat="false" ht="26.85" hidden="false" customHeight="false" outlineLevel="0" collapsed="false">
      <c r="A12" s="3" t="s">
        <v>19</v>
      </c>
      <c r="B12" s="4" t="s">
        <v>20</v>
      </c>
    </row>
    <row r="13" customFormat="false" ht="15" hidden="false" customHeight="false" outlineLevel="0" collapsed="false">
      <c r="A13" s="3" t="s">
        <v>21</v>
      </c>
      <c r="B13" s="4" t="s">
        <v>22</v>
      </c>
    </row>
    <row r="14" customFormat="false" ht="15" hidden="false" customHeight="false" outlineLevel="0" collapsed="false">
      <c r="A14" s="3" t="s">
        <v>23</v>
      </c>
      <c r="B14" s="4" t="s">
        <v>24</v>
      </c>
    </row>
    <row r="15" customFormat="false" ht="15" hidden="false" customHeight="false" outlineLevel="0" collapsed="false">
      <c r="A15" s="2"/>
      <c r="B15" s="2"/>
    </row>
    <row r="16" customFormat="false" ht="15" hidden="false" customHeight="false" outlineLevel="0" collapsed="false">
      <c r="A16" s="2"/>
      <c r="B16" s="2"/>
    </row>
    <row r="17" customFormat="false" ht="15" hidden="false" customHeight="false" outlineLevel="0" collapsed="false">
      <c r="A17" s="5" t="s">
        <v>25</v>
      </c>
      <c r="B17" s="2"/>
    </row>
    <row r="18" customFormat="false" ht="15" hidden="false" customHeight="false" outlineLevel="0" collapsed="false">
      <c r="A18" s="6" t="s">
        <v>26</v>
      </c>
      <c r="B18" s="7" t="n">
        <f aca="false">SUM('Receitas Rodrigo'!H2:H1000)</f>
        <v>10311.0833333333</v>
      </c>
    </row>
    <row r="19" customFormat="false" ht="15" hidden="false" customHeight="false" outlineLevel="0" collapsed="false">
      <c r="A19" s="6" t="s">
        <v>27</v>
      </c>
      <c r="B19" s="7" t="n">
        <f aca="false">SUM('Receitas Esposa'!H2:H1000)</f>
        <v>6444.41666666667</v>
      </c>
    </row>
    <row r="20" customFormat="false" ht="15" hidden="false" customHeight="false" outlineLevel="0" collapsed="false">
      <c r="A20" s="6" t="s">
        <v>28</v>
      </c>
      <c r="B20" s="7" t="n">
        <f aca="false">SUM('Despesas Rodrigo'!I2:I1000)</f>
        <v>1880</v>
      </c>
    </row>
    <row r="21" customFormat="false" ht="15" hidden="false" customHeight="false" outlineLevel="0" collapsed="false">
      <c r="A21" s="6" t="s">
        <v>29</v>
      </c>
      <c r="B21" s="7" t="n">
        <f aca="false">SUM('Despesas Esposa'!I2:I1000)</f>
        <v>1665</v>
      </c>
    </row>
    <row r="22" customFormat="false" ht="15" hidden="false" customHeight="false" outlineLevel="0" collapsed="false">
      <c r="A22" s="6" t="s">
        <v>30</v>
      </c>
      <c r="B22" s="7" t="n">
        <f aca="false">SUM('Despesas Casal'!J2:J1000)</f>
        <v>5840</v>
      </c>
    </row>
    <row r="23" customFormat="false" ht="15" hidden="false" customHeight="false" outlineLevel="0" collapsed="false">
      <c r="A23" s="6" t="s">
        <v>31</v>
      </c>
      <c r="B23" s="7" t="n">
        <f aca="false">SUM(Parcelas!D2:D1000)</f>
        <v>1050</v>
      </c>
    </row>
    <row r="24" customFormat="false" ht="15" hidden="false" customHeight="false" outlineLevel="0" collapsed="false">
      <c r="A24" s="6" t="s">
        <v>32</v>
      </c>
      <c r="B24" s="7" t="n">
        <f aca="false">SUM(Investimentos!D2:D1000)</f>
        <v>1600</v>
      </c>
    </row>
    <row r="25" customFormat="false" ht="15" hidden="false" customHeight="false" outlineLevel="0" collapsed="false">
      <c r="A25" s="8" t="s">
        <v>33</v>
      </c>
      <c r="B25" s="9" t="n">
        <f aca="false">B18+B19-B20-B21-B22-B23-B24</f>
        <v>4720.5</v>
      </c>
    </row>
    <row r="26" customFormat="false" ht="15" hidden="false" customHeight="false" outlineLevel="0" collapsed="false">
      <c r="A26" s="2"/>
      <c r="B26" s="2"/>
    </row>
    <row r="27" customFormat="false" ht="15" hidden="false" customHeight="false" outlineLevel="0" collapsed="false">
      <c r="A27" s="10" t="s">
        <v>34</v>
      </c>
      <c r="B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5"/>
  </cols>
  <sheetData>
    <row r="1" customFormat="false" ht="30" hidden="false" customHeight="true" outlineLevel="0" collapsed="false">
      <c r="A1" s="11" t="s">
        <v>35</v>
      </c>
      <c r="B1" s="11" t="s">
        <v>36</v>
      </c>
      <c r="C1" s="11" t="s">
        <v>37</v>
      </c>
      <c r="D1" s="11" t="s">
        <v>11</v>
      </c>
      <c r="E1" s="11" t="s">
        <v>38</v>
      </c>
      <c r="F1" s="11" t="s">
        <v>39</v>
      </c>
      <c r="G1" s="11" t="s">
        <v>13</v>
      </c>
      <c r="H1" s="11" t="s">
        <v>40</v>
      </c>
    </row>
    <row r="2" customFormat="false" ht="15" hidden="false" customHeight="false" outlineLevel="0" collapsed="false">
      <c r="A2" s="12" t="s">
        <v>41</v>
      </c>
      <c r="B2" s="12" t="s">
        <v>42</v>
      </c>
      <c r="C2" s="13" t="n">
        <v>8200</v>
      </c>
      <c r="D2" s="12" t="s">
        <v>43</v>
      </c>
      <c r="E2" s="14"/>
      <c r="F2" s="14"/>
      <c r="G2" s="12" t="s">
        <v>44</v>
      </c>
      <c r="H2" s="15" t="n">
        <f aca="false">IF(C2="","",IF(D2="Mensal",C2,IF(D2="Anual",C2/12,0)))</f>
        <v>8200</v>
      </c>
    </row>
    <row r="3" customFormat="false" ht="15" hidden="false" customHeight="false" outlineLevel="0" collapsed="false">
      <c r="A3" s="12" t="s">
        <v>45</v>
      </c>
      <c r="B3" s="12" t="s">
        <v>46</v>
      </c>
      <c r="C3" s="13" t="n">
        <v>1200</v>
      </c>
      <c r="D3" s="12" t="s">
        <v>43</v>
      </c>
      <c r="E3" s="14"/>
      <c r="F3" s="14" t="n">
        <v>46539</v>
      </c>
      <c r="G3" s="12" t="s">
        <v>47</v>
      </c>
      <c r="H3" s="15" t="n">
        <f aca="false">IF(C3="","",IF(D3="Mensal",C3,IF(D3="Anual",C3/12,0)))</f>
        <v>1200</v>
      </c>
    </row>
    <row r="4" customFormat="false" ht="15" hidden="false" customHeight="false" outlineLevel="0" collapsed="false">
      <c r="A4" s="12" t="s">
        <v>48</v>
      </c>
      <c r="B4" s="12" t="s">
        <v>42</v>
      </c>
      <c r="C4" s="13" t="n">
        <v>8200</v>
      </c>
      <c r="D4" s="12" t="s">
        <v>49</v>
      </c>
      <c r="E4" s="14" t="n">
        <v>46357</v>
      </c>
      <c r="F4" s="14"/>
      <c r="G4" s="12" t="s">
        <v>44</v>
      </c>
      <c r="H4" s="15" t="n">
        <f aca="false">IF(C4="","",IF(D4="Mensal",C4,IF(D4="Anual",C4/12,0)))</f>
        <v>683.333333333333</v>
      </c>
    </row>
    <row r="5" customFormat="false" ht="15" hidden="false" customHeight="false" outlineLevel="0" collapsed="false">
      <c r="A5" s="12" t="s">
        <v>50</v>
      </c>
      <c r="B5" s="12" t="s">
        <v>42</v>
      </c>
      <c r="C5" s="13" t="n">
        <v>2733</v>
      </c>
      <c r="D5" s="12" t="s">
        <v>49</v>
      </c>
      <c r="E5" s="14" t="n">
        <v>46388</v>
      </c>
      <c r="F5" s="14"/>
      <c r="G5" s="12" t="s">
        <v>44</v>
      </c>
      <c r="H5" s="15" t="n">
        <f aca="false">IF(C5="","",IF(D5="Mensal",C5,IF(D5="Anual",C5/12,0)))</f>
        <v>227.75</v>
      </c>
    </row>
    <row r="6" customFormat="false" ht="15" hidden="false" customHeight="false" outlineLevel="0" collapsed="false">
      <c r="A6" s="12" t="s">
        <v>51</v>
      </c>
      <c r="B6" s="12" t="s">
        <v>46</v>
      </c>
      <c r="C6" s="13" t="n">
        <v>1500</v>
      </c>
      <c r="D6" s="12" t="s">
        <v>52</v>
      </c>
      <c r="E6" s="14" t="n">
        <v>46508</v>
      </c>
      <c r="F6" s="14"/>
      <c r="G6" s="12" t="s">
        <v>47</v>
      </c>
      <c r="H6" s="15" t="n">
        <f aca="false">IF(C6="","",IF(D6="Mensal",C6,IF(D6="Anual",C6/12,0)))</f>
        <v>0</v>
      </c>
    </row>
    <row r="7" customFormat="false" ht="15" hidden="false" customHeight="false" outlineLevel="0" collapsed="false">
      <c r="A7" s="12"/>
      <c r="B7" s="12"/>
      <c r="C7" s="13"/>
      <c r="D7" s="12"/>
      <c r="E7" s="14"/>
      <c r="F7" s="14"/>
      <c r="G7" s="12"/>
      <c r="H7" s="15" t="str">
        <f aca="false">IF(C7="","",IF(D7="Mensal",C7,IF(D7="Anual",C7/12,0)))</f>
        <v/>
      </c>
    </row>
    <row r="8" customFormat="false" ht="15" hidden="false" customHeight="false" outlineLevel="0" collapsed="false">
      <c r="A8" s="12"/>
      <c r="B8" s="12"/>
      <c r="C8" s="13"/>
      <c r="D8" s="12"/>
      <c r="E8" s="14"/>
      <c r="F8" s="14"/>
      <c r="G8" s="12"/>
      <c r="H8" s="15" t="str">
        <f aca="false">IF(C8="","",IF(D8="Mensal",C8,IF(D8="Anual",C8/12,0)))</f>
        <v/>
      </c>
    </row>
    <row r="9" customFormat="false" ht="15" hidden="false" customHeight="false" outlineLevel="0" collapsed="false">
      <c r="A9" s="12"/>
      <c r="B9" s="12"/>
      <c r="C9" s="13"/>
      <c r="D9" s="12"/>
      <c r="E9" s="14"/>
      <c r="F9" s="14"/>
      <c r="G9" s="12"/>
      <c r="H9" s="15" t="str">
        <f aca="false">IF(C9="","",IF(D9="Mensal",C9,IF(D9="Anual",C9/12,0)))</f>
        <v/>
      </c>
    </row>
    <row r="10" customFormat="false" ht="15" hidden="false" customHeight="false" outlineLevel="0" collapsed="false">
      <c r="A10" s="12"/>
      <c r="B10" s="12"/>
      <c r="C10" s="13"/>
      <c r="D10" s="12"/>
      <c r="E10" s="14"/>
      <c r="F10" s="14"/>
      <c r="G10" s="12"/>
      <c r="H10" s="15" t="str">
        <f aca="false">IF(C10="","",IF(D10="Mensal",C10,IF(D10="Anual",C10/12,0)))</f>
        <v/>
      </c>
    </row>
    <row r="11" customFormat="false" ht="15" hidden="false" customHeight="false" outlineLevel="0" collapsed="false">
      <c r="A11" s="12"/>
      <c r="B11" s="12"/>
      <c r="C11" s="13"/>
      <c r="D11" s="12"/>
      <c r="E11" s="14"/>
      <c r="F11" s="14"/>
      <c r="G11" s="12"/>
      <c r="H11" s="15" t="str">
        <f aca="false">IF(C11="","",IF(D11="Mensal",C11,IF(D11="Anual",C11/12,0)))</f>
        <v/>
      </c>
    </row>
    <row r="12" customFormat="false" ht="15" hidden="false" customHeight="false" outlineLevel="0" collapsed="false">
      <c r="A12" s="12"/>
      <c r="B12" s="12"/>
      <c r="C12" s="13"/>
      <c r="D12" s="12"/>
      <c r="E12" s="14"/>
      <c r="F12" s="14"/>
      <c r="G12" s="12"/>
      <c r="H12" s="15" t="str">
        <f aca="false">IF(C12="","",IF(D12="Mensal",C12,IF(D12="Anual",C12/12,0)))</f>
        <v/>
      </c>
    </row>
    <row r="13" customFormat="false" ht="15" hidden="false" customHeight="false" outlineLevel="0" collapsed="false">
      <c r="A13" s="12"/>
      <c r="B13" s="12"/>
      <c r="C13" s="13"/>
      <c r="D13" s="12"/>
      <c r="E13" s="14"/>
      <c r="F13" s="14"/>
      <c r="G13" s="12"/>
      <c r="H13" s="15" t="str">
        <f aca="false">IF(C13="","",IF(D13="Mensal",C13,IF(D13="Anual",C13/12,0)))</f>
        <v/>
      </c>
    </row>
    <row r="14" customFormat="false" ht="15" hidden="false" customHeight="false" outlineLevel="0" collapsed="false">
      <c r="A14" s="12"/>
      <c r="B14" s="12"/>
      <c r="C14" s="13"/>
      <c r="D14" s="12"/>
      <c r="E14" s="14"/>
      <c r="F14" s="14"/>
      <c r="G14" s="12"/>
      <c r="H14" s="15" t="str">
        <f aca="false">IF(C14="","",IF(D14="Mensal",C14,IF(D14="Anual",C14/12,0)))</f>
        <v/>
      </c>
    </row>
    <row r="15" customFormat="false" ht="15" hidden="false" customHeight="false" outlineLevel="0" collapsed="false">
      <c r="A15" s="12"/>
      <c r="B15" s="12"/>
      <c r="C15" s="13"/>
      <c r="D15" s="12"/>
      <c r="E15" s="14"/>
      <c r="F15" s="14"/>
      <c r="G15" s="12"/>
      <c r="H15" s="15" t="str">
        <f aca="false">IF(C15="","",IF(D15="Mensal",C15,IF(D15="Anual",C15/12,0)))</f>
        <v/>
      </c>
    </row>
    <row r="16" customFormat="false" ht="15" hidden="false" customHeight="false" outlineLevel="0" collapsed="false">
      <c r="A16" s="12"/>
      <c r="B16" s="12"/>
      <c r="C16" s="13"/>
      <c r="D16" s="12"/>
      <c r="E16" s="14"/>
      <c r="F16" s="14"/>
      <c r="G16" s="12"/>
      <c r="H16" s="15" t="str">
        <f aca="false">IF(C16="","",IF(D16="Mensal",C16,IF(D16="Anual",C16/12,0)))</f>
        <v/>
      </c>
    </row>
    <row r="17" customFormat="false" ht="15" hidden="false" customHeight="false" outlineLevel="0" collapsed="false">
      <c r="A17" s="12"/>
      <c r="B17" s="12"/>
      <c r="C17" s="13"/>
      <c r="D17" s="12"/>
      <c r="E17" s="14"/>
      <c r="F17" s="14"/>
      <c r="G17" s="12"/>
      <c r="H17" s="15" t="str">
        <f aca="false">IF(C17="","",IF(D17="Mensal",C17,IF(D17="Anual",C17/12,0)))</f>
        <v/>
      </c>
    </row>
    <row r="18" customFormat="false" ht="15" hidden="false" customHeight="false" outlineLevel="0" collapsed="false">
      <c r="A18" s="12"/>
      <c r="B18" s="12"/>
      <c r="C18" s="13"/>
      <c r="D18" s="12"/>
      <c r="E18" s="14"/>
      <c r="F18" s="14"/>
      <c r="G18" s="12"/>
      <c r="H18" s="15" t="str">
        <f aca="false">IF(C18="","",IF(D18="Mensal",C18,IF(D18="Anual",C18/12,0)))</f>
        <v/>
      </c>
    </row>
    <row r="19" customFormat="false" ht="15" hidden="false" customHeight="false" outlineLevel="0" collapsed="false">
      <c r="A19" s="12"/>
      <c r="B19" s="12"/>
      <c r="C19" s="13"/>
      <c r="D19" s="12"/>
      <c r="E19" s="14"/>
      <c r="F19" s="14"/>
      <c r="G19" s="12"/>
      <c r="H19" s="15" t="str">
        <f aca="false">IF(C19="","",IF(D19="Mensal",C19,IF(D19="Anual",C19/12,0)))</f>
        <v/>
      </c>
    </row>
    <row r="20" customFormat="false" ht="15" hidden="false" customHeight="false" outlineLevel="0" collapsed="false">
      <c r="A20" s="12"/>
      <c r="B20" s="12"/>
      <c r="C20" s="13"/>
      <c r="D20" s="12"/>
      <c r="E20" s="14"/>
      <c r="F20" s="14"/>
      <c r="G20" s="12"/>
      <c r="H20" s="15" t="str">
        <f aca="false">IF(C20="","",IF(D20="Mensal",C20,IF(D20="Anual",C20/12,0)))</f>
        <v/>
      </c>
    </row>
    <row r="21" customFormat="false" ht="15" hidden="false" customHeight="false" outlineLevel="0" collapsed="false">
      <c r="A21" s="12"/>
      <c r="B21" s="12"/>
      <c r="C21" s="13"/>
      <c r="D21" s="12"/>
      <c r="E21" s="14"/>
      <c r="F21" s="14"/>
      <c r="G21" s="12"/>
      <c r="H21" s="15" t="str">
        <f aca="false">IF(C21="","",IF(D21="Mensal",C21,IF(D21="Anual",C21/12,0)))</f>
        <v/>
      </c>
    </row>
    <row r="22" customFormat="false" ht="15" hidden="false" customHeight="false" outlineLevel="0" collapsed="false">
      <c r="A22" s="12"/>
      <c r="B22" s="12"/>
      <c r="C22" s="13"/>
      <c r="D22" s="12"/>
      <c r="E22" s="14"/>
      <c r="F22" s="14"/>
      <c r="G22" s="12"/>
      <c r="H22" s="15" t="str">
        <f aca="false">IF(C22="","",IF(D22="Mensal",C22,IF(D22="Anual",C22/12,0)))</f>
        <v/>
      </c>
    </row>
    <row r="23" customFormat="false" ht="15" hidden="false" customHeight="false" outlineLevel="0" collapsed="false">
      <c r="A23" s="12"/>
      <c r="B23" s="12"/>
      <c r="C23" s="13"/>
      <c r="D23" s="12"/>
      <c r="E23" s="14"/>
      <c r="F23" s="14"/>
      <c r="G23" s="12"/>
      <c r="H23" s="15" t="str">
        <f aca="false">IF(C23="","",IF(D23="Mensal",C23,IF(D23="Anual",C23/12,0)))</f>
        <v/>
      </c>
    </row>
    <row r="24" customFormat="false" ht="15" hidden="false" customHeight="false" outlineLevel="0" collapsed="false">
      <c r="A24" s="12"/>
      <c r="B24" s="12"/>
      <c r="C24" s="13"/>
      <c r="D24" s="12"/>
      <c r="E24" s="14"/>
      <c r="F24" s="14"/>
      <c r="G24" s="12"/>
      <c r="H24" s="15" t="str">
        <f aca="false">IF(C24="","",IF(D24="Mensal",C24,IF(D24="Anual",C24/12,0)))</f>
        <v/>
      </c>
    </row>
    <row r="25" customFormat="false" ht="15" hidden="false" customHeight="false" outlineLevel="0" collapsed="false">
      <c r="A25" s="12"/>
      <c r="B25" s="12"/>
      <c r="C25" s="13"/>
      <c r="D25" s="12"/>
      <c r="E25" s="14"/>
      <c r="F25" s="14"/>
      <c r="G25" s="12"/>
      <c r="H25" s="15" t="str">
        <f aca="false">IF(C25="","",IF(D25="Mensal",C25,IF(D25="Anual",C25/12,0)))</f>
        <v/>
      </c>
    </row>
    <row r="26" customFormat="false" ht="15" hidden="false" customHeight="false" outlineLevel="0" collapsed="false">
      <c r="A26" s="12"/>
      <c r="B26" s="12"/>
      <c r="C26" s="13"/>
      <c r="D26" s="12"/>
      <c r="E26" s="14"/>
      <c r="F26" s="14"/>
      <c r="G26" s="12"/>
      <c r="H26" s="15" t="str">
        <f aca="false">IF(C26="","",IF(D26="Mensal",C26,IF(D26="Anual",C26/12,0)))</f>
        <v/>
      </c>
    </row>
    <row r="27" customFormat="false" ht="15" hidden="false" customHeight="false" outlineLevel="0" collapsed="false">
      <c r="A27" s="12"/>
      <c r="B27" s="12"/>
      <c r="C27" s="13"/>
      <c r="D27" s="12"/>
      <c r="E27" s="14"/>
      <c r="F27" s="14"/>
      <c r="G27" s="12"/>
      <c r="H27" s="15" t="str">
        <f aca="false">IF(C27="","",IF(D27="Mensal",C27,IF(D27="Anual",C27/12,0)))</f>
        <v/>
      </c>
    </row>
    <row r="28" customFormat="false" ht="15" hidden="false" customHeight="false" outlineLevel="0" collapsed="false">
      <c r="A28" s="12"/>
      <c r="B28" s="12"/>
      <c r="C28" s="13"/>
      <c r="D28" s="12"/>
      <c r="E28" s="14"/>
      <c r="F28" s="14"/>
      <c r="G28" s="12"/>
      <c r="H28" s="15" t="str">
        <f aca="false">IF(C28="","",IF(D28="Mensal",C28,IF(D28="Anual",C28/12,0)))</f>
        <v/>
      </c>
    </row>
    <row r="29" customFormat="false" ht="15" hidden="false" customHeight="false" outlineLevel="0" collapsed="false">
      <c r="A29" s="12"/>
      <c r="B29" s="12"/>
      <c r="C29" s="13"/>
      <c r="D29" s="12"/>
      <c r="E29" s="14"/>
      <c r="F29" s="14"/>
      <c r="G29" s="12"/>
      <c r="H29" s="15" t="str">
        <f aca="false">IF(C29="","",IF(D29="Mensal",C29,IF(D29="Anual",C29/12,0)))</f>
        <v/>
      </c>
    </row>
    <row r="30" customFormat="false" ht="15" hidden="false" customHeight="false" outlineLevel="0" collapsed="false">
      <c r="A30" s="12"/>
      <c r="B30" s="12"/>
      <c r="C30" s="13"/>
      <c r="D30" s="12"/>
      <c r="E30" s="14"/>
      <c r="F30" s="14"/>
      <c r="G30" s="12"/>
      <c r="H30" s="15" t="str">
        <f aca="false">IF(C30="","",IF(D30="Mensal",C30,IF(D30="Anual",C30/12,0)))</f>
        <v/>
      </c>
    </row>
    <row r="31" customFormat="false" ht="15" hidden="false" customHeight="false" outlineLevel="0" collapsed="false">
      <c r="A31" s="12"/>
      <c r="B31" s="12"/>
      <c r="C31" s="13"/>
      <c r="D31" s="12"/>
      <c r="E31" s="14"/>
      <c r="F31" s="14"/>
      <c r="G31" s="12"/>
      <c r="H31" s="15" t="str">
        <f aca="false">IF(C31="","",IF(D31="Mensal",C31,IF(D31="Anual",C31/12,0)))</f>
        <v/>
      </c>
    </row>
    <row r="32" customFormat="false" ht="15" hidden="false" customHeight="false" outlineLevel="0" collapsed="false">
      <c r="A32" s="12"/>
      <c r="B32" s="12"/>
      <c r="C32" s="13"/>
      <c r="D32" s="12"/>
      <c r="E32" s="14"/>
      <c r="F32" s="14"/>
      <c r="G32" s="12"/>
      <c r="H32" s="15" t="str">
        <f aca="false">IF(C32="","",IF(D32="Mensal",C32,IF(D32="Anual",C32/12,0)))</f>
        <v/>
      </c>
    </row>
    <row r="33" customFormat="false" ht="15" hidden="false" customHeight="false" outlineLevel="0" collapsed="false">
      <c r="A33" s="12"/>
      <c r="B33" s="12"/>
      <c r="C33" s="13"/>
      <c r="D33" s="12"/>
      <c r="E33" s="14"/>
      <c r="F33" s="14"/>
      <c r="G33" s="12"/>
      <c r="H33" s="15" t="str">
        <f aca="false">IF(C33="","",IF(D33="Mensal",C33,IF(D33="Anual",C33/12,0)))</f>
        <v/>
      </c>
    </row>
    <row r="34" customFormat="false" ht="15" hidden="false" customHeight="false" outlineLevel="0" collapsed="false">
      <c r="A34" s="12"/>
      <c r="B34" s="12"/>
      <c r="C34" s="13"/>
      <c r="D34" s="12"/>
      <c r="E34" s="14"/>
      <c r="F34" s="14"/>
      <c r="G34" s="12"/>
      <c r="H34" s="15" t="str">
        <f aca="false">IF(C34="","",IF(D34="Mensal",C34,IF(D34="Anual",C34/12,0)))</f>
        <v/>
      </c>
    </row>
    <row r="35" customFormat="false" ht="15" hidden="false" customHeight="false" outlineLevel="0" collapsed="false">
      <c r="A35" s="12"/>
      <c r="B35" s="12"/>
      <c r="C35" s="13"/>
      <c r="D35" s="12"/>
      <c r="E35" s="14"/>
      <c r="F35" s="14"/>
      <c r="G35" s="12"/>
      <c r="H35" s="15" t="str">
        <f aca="false">IF(C35="","",IF(D35="Mensal",C35,IF(D35="Anual",C35/12,0)))</f>
        <v/>
      </c>
    </row>
    <row r="36" customFormat="false" ht="15" hidden="false" customHeight="false" outlineLevel="0" collapsed="false">
      <c r="A36" s="12"/>
      <c r="B36" s="12"/>
      <c r="C36" s="13"/>
      <c r="D36" s="12"/>
      <c r="E36" s="14"/>
      <c r="F36" s="14"/>
      <c r="G36" s="12"/>
      <c r="H36" s="15" t="str">
        <f aca="false">IF(C36="","",IF(D36="Mensal",C36,IF(D36="Anual",C36/12,0)))</f>
        <v/>
      </c>
    </row>
    <row r="37" customFormat="false" ht="15" hidden="false" customHeight="false" outlineLevel="0" collapsed="false">
      <c r="A37" s="12"/>
      <c r="B37" s="12"/>
      <c r="C37" s="13"/>
      <c r="D37" s="12"/>
      <c r="E37" s="14"/>
      <c r="F37" s="14"/>
      <c r="G37" s="12"/>
      <c r="H37" s="15" t="str">
        <f aca="false">IF(C37="","",IF(D37="Mensal",C37,IF(D37="Anual",C37/12,0)))</f>
        <v/>
      </c>
    </row>
    <row r="38" customFormat="false" ht="15" hidden="false" customHeight="false" outlineLevel="0" collapsed="false">
      <c r="A38" s="12"/>
      <c r="B38" s="12"/>
      <c r="C38" s="13"/>
      <c r="D38" s="12"/>
      <c r="E38" s="14"/>
      <c r="F38" s="14"/>
      <c r="G38" s="12"/>
      <c r="H38" s="15" t="str">
        <f aca="false">IF(C38="","",IF(D38="Mensal",C38,IF(D38="Anual",C38/12,0)))</f>
        <v/>
      </c>
    </row>
    <row r="39" customFormat="false" ht="15" hidden="false" customHeight="false" outlineLevel="0" collapsed="false">
      <c r="A39" s="12"/>
      <c r="B39" s="12"/>
      <c r="C39" s="13"/>
      <c r="D39" s="12"/>
      <c r="E39" s="14"/>
      <c r="F39" s="14"/>
      <c r="G39" s="12"/>
      <c r="H39" s="15" t="str">
        <f aca="false">IF(C39="","",IF(D39="Mensal",C39,IF(D39="Anual",C39/12,0)))</f>
        <v/>
      </c>
    </row>
    <row r="40" customFormat="false" ht="15" hidden="false" customHeight="false" outlineLevel="0" collapsed="false">
      <c r="A40" s="12"/>
      <c r="B40" s="12"/>
      <c r="C40" s="13"/>
      <c r="D40" s="12"/>
      <c r="E40" s="14"/>
      <c r="F40" s="14"/>
      <c r="G40" s="12"/>
      <c r="H40" s="15" t="str">
        <f aca="false">IF(C40="","",IF(D40="Mensal",C40,IF(D40="Anual",C40/12,0)))</f>
        <v/>
      </c>
    </row>
    <row r="41" customFormat="false" ht="15" hidden="false" customHeight="false" outlineLevel="0" collapsed="false">
      <c r="A41" s="12"/>
      <c r="B41" s="12"/>
      <c r="C41" s="13"/>
      <c r="D41" s="12"/>
      <c r="E41" s="14"/>
      <c r="F41" s="14"/>
      <c r="G41" s="12"/>
      <c r="H41" s="15" t="str">
        <f aca="false">IF(C41="","",IF(D41="Mensal",C41,IF(D41="Anual",C41/12,0)))</f>
        <v/>
      </c>
    </row>
    <row r="42" customFormat="false" ht="15" hidden="false" customHeight="false" outlineLevel="0" collapsed="false">
      <c r="A42" s="12"/>
      <c r="B42" s="12"/>
      <c r="C42" s="13"/>
      <c r="D42" s="12"/>
      <c r="E42" s="14"/>
      <c r="F42" s="14"/>
      <c r="G42" s="12"/>
      <c r="H42" s="15" t="str">
        <f aca="false">IF(C42="","",IF(D42="Mensal",C42,IF(D42="Anual",C42/12,0)))</f>
        <v/>
      </c>
    </row>
    <row r="43" customFormat="false" ht="15" hidden="false" customHeight="false" outlineLevel="0" collapsed="false">
      <c r="A43" s="12"/>
      <c r="B43" s="12"/>
      <c r="C43" s="13"/>
      <c r="D43" s="12"/>
      <c r="E43" s="14"/>
      <c r="F43" s="14"/>
      <c r="G43" s="12"/>
      <c r="H43" s="15" t="str">
        <f aca="false">IF(C43="","",IF(D43="Mensal",C43,IF(D43="Anual",C43/12,0)))</f>
        <v/>
      </c>
    </row>
    <row r="44" customFormat="false" ht="15" hidden="false" customHeight="false" outlineLevel="0" collapsed="false">
      <c r="A44" s="12"/>
      <c r="B44" s="12"/>
      <c r="C44" s="13"/>
      <c r="D44" s="12"/>
      <c r="E44" s="14"/>
      <c r="F44" s="14"/>
      <c r="G44" s="12"/>
      <c r="H44" s="15" t="str">
        <f aca="false">IF(C44="","",IF(D44="Mensal",C44,IF(D44="Anual",C44/12,0)))</f>
        <v/>
      </c>
    </row>
    <row r="45" customFormat="false" ht="15" hidden="false" customHeight="false" outlineLevel="0" collapsed="false">
      <c r="A45" s="12"/>
      <c r="B45" s="12"/>
      <c r="C45" s="13"/>
      <c r="D45" s="12"/>
      <c r="E45" s="14"/>
      <c r="F45" s="14"/>
      <c r="G45" s="12"/>
      <c r="H45" s="15" t="str">
        <f aca="false">IF(C45="","",IF(D45="Mensal",C45,IF(D45="Anual",C45/12,0)))</f>
        <v/>
      </c>
    </row>
    <row r="46" customFormat="false" ht="15" hidden="false" customHeight="false" outlineLevel="0" collapsed="false">
      <c r="A46" s="12"/>
      <c r="B46" s="12"/>
      <c r="C46" s="13"/>
      <c r="D46" s="12"/>
      <c r="E46" s="14"/>
      <c r="F46" s="14"/>
      <c r="G46" s="12"/>
      <c r="H46" s="15" t="str">
        <f aca="false">IF(C46="","",IF(D46="Mensal",C46,IF(D46="Anual",C46/12,0)))</f>
        <v/>
      </c>
    </row>
    <row r="47" customFormat="false" ht="15" hidden="false" customHeight="false" outlineLevel="0" collapsed="false">
      <c r="A47" s="12"/>
      <c r="B47" s="12"/>
      <c r="C47" s="13"/>
      <c r="D47" s="12"/>
      <c r="E47" s="14"/>
      <c r="F47" s="14"/>
      <c r="G47" s="12"/>
      <c r="H47" s="15" t="str">
        <f aca="false">IF(C47="","",IF(D47="Mensal",C47,IF(D47="Anual",C47/12,0)))</f>
        <v/>
      </c>
    </row>
    <row r="48" customFormat="false" ht="15" hidden="false" customHeight="false" outlineLevel="0" collapsed="false">
      <c r="A48" s="12"/>
      <c r="B48" s="12"/>
      <c r="C48" s="13"/>
      <c r="D48" s="12"/>
      <c r="E48" s="14"/>
      <c r="F48" s="14"/>
      <c r="G48" s="12"/>
      <c r="H48" s="15" t="str">
        <f aca="false">IF(C48="","",IF(D48="Mensal",C48,IF(D48="Anual",C48/12,0)))</f>
        <v/>
      </c>
    </row>
    <row r="49" customFormat="false" ht="15" hidden="false" customHeight="false" outlineLevel="0" collapsed="false">
      <c r="A49" s="12"/>
      <c r="B49" s="12"/>
      <c r="C49" s="13"/>
      <c r="D49" s="12"/>
      <c r="E49" s="14"/>
      <c r="F49" s="14"/>
      <c r="G49" s="12"/>
      <c r="H49" s="15" t="str">
        <f aca="false">IF(C49="","",IF(D49="Mensal",C49,IF(D49="Anual",C49/12,0)))</f>
        <v/>
      </c>
    </row>
    <row r="50" customFormat="false" ht="15" hidden="false" customHeight="false" outlineLevel="0" collapsed="false">
      <c r="A50" s="12"/>
      <c r="B50" s="12"/>
      <c r="C50" s="13"/>
      <c r="D50" s="12"/>
      <c r="E50" s="14"/>
      <c r="F50" s="14"/>
      <c r="G50" s="12"/>
      <c r="H50" s="15" t="str">
        <f aca="false">IF(C50="","",IF(D50="Mensal",C50,IF(D50="Anual",C50/12,0)))</f>
        <v/>
      </c>
    </row>
    <row r="51" customFormat="false" ht="15" hidden="false" customHeight="false" outlineLevel="0" collapsed="false">
      <c r="A51" s="12"/>
      <c r="B51" s="12"/>
      <c r="C51" s="13"/>
      <c r="D51" s="12"/>
      <c r="E51" s="14"/>
      <c r="F51" s="14"/>
      <c r="G51" s="12"/>
      <c r="H51" s="15" t="str">
        <f aca="false">IF(C51="","",IF(D51="Mensal",C51,IF(D51="Anual",C51/12,0)))</f>
        <v/>
      </c>
    </row>
    <row r="52" customFormat="false" ht="15" hidden="false" customHeight="false" outlineLevel="0" collapsed="false">
      <c r="A52" s="12"/>
      <c r="B52" s="12"/>
      <c r="C52" s="13"/>
      <c r="D52" s="12"/>
      <c r="E52" s="14"/>
      <c r="F52" s="14"/>
      <c r="G52" s="12"/>
      <c r="H52" s="15" t="str">
        <f aca="false">IF(C52="","",IF(D52="Mensal",C52,IF(D52="Anual",C52/12,0)))</f>
        <v/>
      </c>
    </row>
    <row r="53" customFormat="false" ht="15" hidden="false" customHeight="false" outlineLevel="0" collapsed="false">
      <c r="A53" s="12"/>
      <c r="B53" s="12"/>
      <c r="C53" s="13"/>
      <c r="D53" s="12"/>
      <c r="E53" s="14"/>
      <c r="F53" s="14"/>
      <c r="G53" s="12"/>
      <c r="H53" s="15" t="str">
        <f aca="false">IF(C53="","",IF(D53="Mensal",C53,IF(D53="Anual",C53/12,0)))</f>
        <v/>
      </c>
    </row>
    <row r="54" customFormat="false" ht="15" hidden="false" customHeight="false" outlineLevel="0" collapsed="false">
      <c r="A54" s="12"/>
      <c r="B54" s="12"/>
      <c r="C54" s="13"/>
      <c r="D54" s="12"/>
      <c r="E54" s="14"/>
      <c r="F54" s="14"/>
      <c r="G54" s="12"/>
      <c r="H54" s="15" t="str">
        <f aca="false">IF(C54="","",IF(D54="Mensal",C54,IF(D54="Anual",C54/12,0)))</f>
        <v/>
      </c>
    </row>
    <row r="55" customFormat="false" ht="15" hidden="false" customHeight="false" outlineLevel="0" collapsed="false">
      <c r="A55" s="12"/>
      <c r="B55" s="12"/>
      <c r="C55" s="13"/>
      <c r="D55" s="12"/>
      <c r="E55" s="14"/>
      <c r="F55" s="14"/>
      <c r="G55" s="12"/>
      <c r="H55" s="15" t="str">
        <f aca="false">IF(C55="","",IF(D55="Mensal",C55,IF(D55="Anual",C55/12,0)))</f>
        <v/>
      </c>
    </row>
    <row r="56" customFormat="false" ht="15" hidden="false" customHeight="false" outlineLevel="0" collapsed="false">
      <c r="A56" s="12"/>
      <c r="B56" s="12"/>
      <c r="C56" s="13"/>
      <c r="D56" s="12"/>
      <c r="E56" s="14"/>
      <c r="F56" s="14"/>
      <c r="G56" s="12"/>
      <c r="H56" s="15" t="str">
        <f aca="false">IF(C56="","",IF(D56="Mensal",C56,IF(D56="Anual",C56/12,0)))</f>
        <v/>
      </c>
    </row>
    <row r="57" customFormat="false" ht="15" hidden="false" customHeight="false" outlineLevel="0" collapsed="false">
      <c r="A57" s="12"/>
      <c r="B57" s="12"/>
      <c r="C57" s="13"/>
      <c r="D57" s="12"/>
      <c r="E57" s="14"/>
      <c r="F57" s="14"/>
      <c r="G57" s="12"/>
      <c r="H57" s="15" t="str">
        <f aca="false">IF(C57="","",IF(D57="Mensal",C57,IF(D57="Anual",C57/12,0)))</f>
        <v/>
      </c>
    </row>
    <row r="58" customFormat="false" ht="15" hidden="false" customHeight="false" outlineLevel="0" collapsed="false">
      <c r="A58" s="12"/>
      <c r="B58" s="12"/>
      <c r="C58" s="13"/>
      <c r="D58" s="12"/>
      <c r="E58" s="14"/>
      <c r="F58" s="14"/>
      <c r="G58" s="12"/>
      <c r="H58" s="15" t="str">
        <f aca="false">IF(C58="","",IF(D58="Mensal",C58,IF(D58="Anual",C58/12,0)))</f>
        <v/>
      </c>
    </row>
    <row r="59" customFormat="false" ht="15" hidden="false" customHeight="false" outlineLevel="0" collapsed="false">
      <c r="A59" s="12"/>
      <c r="B59" s="12"/>
      <c r="C59" s="13"/>
      <c r="D59" s="12"/>
      <c r="E59" s="14"/>
      <c r="F59" s="14"/>
      <c r="G59" s="12"/>
      <c r="H59" s="15" t="str">
        <f aca="false">IF(C59="","",IF(D59="Mensal",C59,IF(D59="Anual",C59/12,0)))</f>
        <v/>
      </c>
    </row>
    <row r="60" customFormat="false" ht="15" hidden="false" customHeight="false" outlineLevel="0" collapsed="false">
      <c r="A60" s="12"/>
      <c r="B60" s="12"/>
      <c r="C60" s="13"/>
      <c r="D60" s="12"/>
      <c r="E60" s="14"/>
      <c r="F60" s="14"/>
      <c r="G60" s="12"/>
      <c r="H60" s="15" t="str">
        <f aca="false">IF(C60="","",IF(D60="Mensal",C60,IF(D60="Anual",C60/12,0)))</f>
        <v/>
      </c>
    </row>
    <row r="61" customFormat="false" ht="15" hidden="false" customHeight="false" outlineLevel="0" collapsed="false">
      <c r="A61" s="12"/>
      <c r="B61" s="12"/>
      <c r="C61" s="13"/>
      <c r="D61" s="12"/>
      <c r="E61" s="14"/>
      <c r="F61" s="14"/>
      <c r="G61" s="12"/>
      <c r="H61" s="15" t="str">
        <f aca="false">IF(C61="","",IF(D61="Mensal",C61,IF(D61="Anual",C61/12,0)))</f>
        <v/>
      </c>
    </row>
  </sheetData>
  <dataValidations count="2">
    <dataValidation allowBlank="true" errorStyle="stop" operator="between" showDropDown="false" showErrorMessage="false" showInputMessage="false" sqref="D2:D61" type="list">
      <formula1>"Mensal,Anual,Única"</formula1>
      <formula2>0</formula2>
    </dataValidation>
    <dataValidation allowBlank="true" errorStyle="stop" operator="between" showDropDown="false" showErrorMessage="false" showInputMessage="false" sqref="G2:G6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6" min="4" style="0" width="13"/>
    <col collapsed="false" customWidth="true" hidden="false" outlineLevel="0" max="7" min="7" style="0" width="11"/>
    <col collapsed="false" customWidth="true" hidden="false" outlineLevel="0" max="8" min="8" style="0" width="15"/>
  </cols>
  <sheetData>
    <row r="1" customFormat="false" ht="30" hidden="false" customHeight="true" outlineLevel="0" collapsed="false">
      <c r="A1" s="16" t="s">
        <v>35</v>
      </c>
      <c r="B1" s="16" t="s">
        <v>36</v>
      </c>
      <c r="C1" s="16" t="s">
        <v>37</v>
      </c>
      <c r="D1" s="16" t="s">
        <v>11</v>
      </c>
      <c r="E1" s="16" t="s">
        <v>38</v>
      </c>
      <c r="F1" s="16" t="s">
        <v>39</v>
      </c>
      <c r="G1" s="16" t="s">
        <v>13</v>
      </c>
      <c r="H1" s="16" t="s">
        <v>40</v>
      </c>
    </row>
    <row r="2" customFormat="false" ht="15" hidden="false" customHeight="false" outlineLevel="0" collapsed="false">
      <c r="A2" s="12" t="s">
        <v>41</v>
      </c>
      <c r="B2" s="12" t="s">
        <v>42</v>
      </c>
      <c r="C2" s="13" t="n">
        <v>5800</v>
      </c>
      <c r="D2" s="12" t="s">
        <v>43</v>
      </c>
      <c r="E2" s="14"/>
      <c r="F2" s="14"/>
      <c r="G2" s="12" t="s">
        <v>44</v>
      </c>
      <c r="H2" s="15" t="n">
        <f aca="false">IF(C2="","",IF(D2="Mensal",C2,IF(D2="Anual",C2/12,0)))</f>
        <v>5800</v>
      </c>
    </row>
    <row r="3" customFormat="false" ht="15" hidden="false" customHeight="false" outlineLevel="0" collapsed="false">
      <c r="A3" s="12" t="s">
        <v>48</v>
      </c>
      <c r="B3" s="12" t="s">
        <v>42</v>
      </c>
      <c r="C3" s="13" t="n">
        <v>5800</v>
      </c>
      <c r="D3" s="12" t="s">
        <v>49</v>
      </c>
      <c r="E3" s="14" t="n">
        <v>46357</v>
      </c>
      <c r="F3" s="14"/>
      <c r="G3" s="12" t="s">
        <v>44</v>
      </c>
      <c r="H3" s="15" t="n">
        <f aca="false">IF(C3="","",IF(D3="Mensal",C3,IF(D3="Anual",C3/12,0)))</f>
        <v>483.333333333333</v>
      </c>
    </row>
    <row r="4" customFormat="false" ht="15" hidden="false" customHeight="false" outlineLevel="0" collapsed="false">
      <c r="A4" s="12" t="s">
        <v>50</v>
      </c>
      <c r="B4" s="12" t="s">
        <v>42</v>
      </c>
      <c r="C4" s="13" t="n">
        <v>1933</v>
      </c>
      <c r="D4" s="12" t="s">
        <v>49</v>
      </c>
      <c r="E4" s="14" t="n">
        <v>46569</v>
      </c>
      <c r="F4" s="14"/>
      <c r="G4" s="12" t="s">
        <v>44</v>
      </c>
      <c r="H4" s="15" t="n">
        <f aca="false">IF(C4="","",IF(D4="Mensal",C4,IF(D4="Anual",C4/12,0)))</f>
        <v>161.083333333333</v>
      </c>
    </row>
    <row r="5" customFormat="false" ht="15" hidden="false" customHeight="false" outlineLevel="0" collapsed="false">
      <c r="A5" s="12"/>
      <c r="B5" s="12"/>
      <c r="C5" s="13"/>
      <c r="D5" s="12"/>
      <c r="E5" s="14"/>
      <c r="F5" s="14"/>
      <c r="G5" s="12"/>
      <c r="H5" s="15" t="str">
        <f aca="false">IF(C5="","",IF(D5="Mensal",C5,IF(D5="Anual",C5/12,0)))</f>
        <v/>
      </c>
    </row>
    <row r="6" customFormat="false" ht="15" hidden="false" customHeight="false" outlineLevel="0" collapsed="false">
      <c r="A6" s="12"/>
      <c r="B6" s="12"/>
      <c r="C6" s="13"/>
      <c r="D6" s="12"/>
      <c r="E6" s="14"/>
      <c r="F6" s="14"/>
      <c r="G6" s="12"/>
      <c r="H6" s="15" t="str">
        <f aca="false">IF(C6="","",IF(D6="Mensal",C6,IF(D6="Anual",C6/12,0)))</f>
        <v/>
      </c>
    </row>
    <row r="7" customFormat="false" ht="15" hidden="false" customHeight="false" outlineLevel="0" collapsed="false">
      <c r="A7" s="12"/>
      <c r="B7" s="12"/>
      <c r="C7" s="13"/>
      <c r="D7" s="12"/>
      <c r="E7" s="14"/>
      <c r="F7" s="14"/>
      <c r="G7" s="12"/>
      <c r="H7" s="15" t="str">
        <f aca="false">IF(C7="","",IF(D7="Mensal",C7,IF(D7="Anual",C7/12,0)))</f>
        <v/>
      </c>
    </row>
    <row r="8" customFormat="false" ht="15" hidden="false" customHeight="false" outlineLevel="0" collapsed="false">
      <c r="A8" s="12"/>
      <c r="B8" s="12"/>
      <c r="C8" s="13"/>
      <c r="D8" s="12"/>
      <c r="E8" s="14"/>
      <c r="F8" s="14"/>
      <c r="G8" s="12"/>
      <c r="H8" s="15" t="str">
        <f aca="false">IF(C8="","",IF(D8="Mensal",C8,IF(D8="Anual",C8/12,0)))</f>
        <v/>
      </c>
    </row>
    <row r="9" customFormat="false" ht="15" hidden="false" customHeight="false" outlineLevel="0" collapsed="false">
      <c r="A9" s="12"/>
      <c r="B9" s="12"/>
      <c r="C9" s="13"/>
      <c r="D9" s="12"/>
      <c r="E9" s="14"/>
      <c r="F9" s="14"/>
      <c r="G9" s="12"/>
      <c r="H9" s="15" t="str">
        <f aca="false">IF(C9="","",IF(D9="Mensal",C9,IF(D9="Anual",C9/12,0)))</f>
        <v/>
      </c>
    </row>
    <row r="10" customFormat="false" ht="15" hidden="false" customHeight="false" outlineLevel="0" collapsed="false">
      <c r="A10" s="12"/>
      <c r="B10" s="12"/>
      <c r="C10" s="13"/>
      <c r="D10" s="12"/>
      <c r="E10" s="14"/>
      <c r="F10" s="14"/>
      <c r="G10" s="12"/>
      <c r="H10" s="15" t="str">
        <f aca="false">IF(C10="","",IF(D10="Mensal",C10,IF(D10="Anual",C10/12,0)))</f>
        <v/>
      </c>
    </row>
    <row r="11" customFormat="false" ht="15" hidden="false" customHeight="false" outlineLevel="0" collapsed="false">
      <c r="A11" s="12"/>
      <c r="B11" s="12"/>
      <c r="C11" s="13"/>
      <c r="D11" s="12"/>
      <c r="E11" s="14"/>
      <c r="F11" s="14"/>
      <c r="G11" s="12"/>
      <c r="H11" s="15" t="str">
        <f aca="false">IF(C11="","",IF(D11="Mensal",C11,IF(D11="Anual",C11/12,0)))</f>
        <v/>
      </c>
    </row>
    <row r="12" customFormat="false" ht="15" hidden="false" customHeight="false" outlineLevel="0" collapsed="false">
      <c r="A12" s="12"/>
      <c r="B12" s="12"/>
      <c r="C12" s="13"/>
      <c r="D12" s="12"/>
      <c r="E12" s="14"/>
      <c r="F12" s="14"/>
      <c r="G12" s="12"/>
      <c r="H12" s="15" t="str">
        <f aca="false">IF(C12="","",IF(D12="Mensal",C12,IF(D12="Anual",C12/12,0)))</f>
        <v/>
      </c>
    </row>
    <row r="13" customFormat="false" ht="15" hidden="false" customHeight="false" outlineLevel="0" collapsed="false">
      <c r="A13" s="12"/>
      <c r="B13" s="12"/>
      <c r="C13" s="13"/>
      <c r="D13" s="12"/>
      <c r="E13" s="14"/>
      <c r="F13" s="14"/>
      <c r="G13" s="12"/>
      <c r="H13" s="15" t="str">
        <f aca="false">IF(C13="","",IF(D13="Mensal",C13,IF(D13="Anual",C13/12,0)))</f>
        <v/>
      </c>
    </row>
    <row r="14" customFormat="false" ht="15" hidden="false" customHeight="false" outlineLevel="0" collapsed="false">
      <c r="A14" s="12"/>
      <c r="B14" s="12"/>
      <c r="C14" s="13"/>
      <c r="D14" s="12"/>
      <c r="E14" s="14"/>
      <c r="F14" s="14"/>
      <c r="G14" s="12"/>
      <c r="H14" s="15" t="str">
        <f aca="false">IF(C14="","",IF(D14="Mensal",C14,IF(D14="Anual",C14/12,0)))</f>
        <v/>
      </c>
    </row>
    <row r="15" customFormat="false" ht="15" hidden="false" customHeight="false" outlineLevel="0" collapsed="false">
      <c r="A15" s="12"/>
      <c r="B15" s="12"/>
      <c r="C15" s="13"/>
      <c r="D15" s="12"/>
      <c r="E15" s="14"/>
      <c r="F15" s="14"/>
      <c r="G15" s="12"/>
      <c r="H15" s="15" t="str">
        <f aca="false">IF(C15="","",IF(D15="Mensal",C15,IF(D15="Anual",C15/12,0)))</f>
        <v/>
      </c>
    </row>
    <row r="16" customFormat="false" ht="15" hidden="false" customHeight="false" outlineLevel="0" collapsed="false">
      <c r="A16" s="12"/>
      <c r="B16" s="12"/>
      <c r="C16" s="13"/>
      <c r="D16" s="12"/>
      <c r="E16" s="14"/>
      <c r="F16" s="14"/>
      <c r="G16" s="12"/>
      <c r="H16" s="15" t="str">
        <f aca="false">IF(C16="","",IF(D16="Mensal",C16,IF(D16="Anual",C16/12,0)))</f>
        <v/>
      </c>
    </row>
    <row r="17" customFormat="false" ht="15" hidden="false" customHeight="false" outlineLevel="0" collapsed="false">
      <c r="A17" s="12"/>
      <c r="B17" s="12"/>
      <c r="C17" s="13"/>
      <c r="D17" s="12"/>
      <c r="E17" s="14"/>
      <c r="F17" s="14"/>
      <c r="G17" s="12"/>
      <c r="H17" s="15" t="str">
        <f aca="false">IF(C17="","",IF(D17="Mensal",C17,IF(D17="Anual",C17/12,0)))</f>
        <v/>
      </c>
    </row>
    <row r="18" customFormat="false" ht="15" hidden="false" customHeight="false" outlineLevel="0" collapsed="false">
      <c r="A18" s="12"/>
      <c r="B18" s="12"/>
      <c r="C18" s="13"/>
      <c r="D18" s="12"/>
      <c r="E18" s="14"/>
      <c r="F18" s="14"/>
      <c r="G18" s="12"/>
      <c r="H18" s="15" t="str">
        <f aca="false">IF(C18="","",IF(D18="Mensal",C18,IF(D18="Anual",C18/12,0)))</f>
        <v/>
      </c>
    </row>
    <row r="19" customFormat="false" ht="15" hidden="false" customHeight="false" outlineLevel="0" collapsed="false">
      <c r="A19" s="12"/>
      <c r="B19" s="12"/>
      <c r="C19" s="13"/>
      <c r="D19" s="12"/>
      <c r="E19" s="14"/>
      <c r="F19" s="14"/>
      <c r="G19" s="12"/>
      <c r="H19" s="15" t="str">
        <f aca="false">IF(C19="","",IF(D19="Mensal",C19,IF(D19="Anual",C19/12,0)))</f>
        <v/>
      </c>
    </row>
    <row r="20" customFormat="false" ht="15" hidden="false" customHeight="false" outlineLevel="0" collapsed="false">
      <c r="A20" s="12"/>
      <c r="B20" s="12"/>
      <c r="C20" s="13"/>
      <c r="D20" s="12"/>
      <c r="E20" s="14"/>
      <c r="F20" s="14"/>
      <c r="G20" s="12"/>
      <c r="H20" s="15" t="str">
        <f aca="false">IF(C20="","",IF(D20="Mensal",C20,IF(D20="Anual",C20/12,0)))</f>
        <v/>
      </c>
    </row>
    <row r="21" customFormat="false" ht="15" hidden="false" customHeight="false" outlineLevel="0" collapsed="false">
      <c r="A21" s="12"/>
      <c r="B21" s="12"/>
      <c r="C21" s="13"/>
      <c r="D21" s="12"/>
      <c r="E21" s="14"/>
      <c r="F21" s="14"/>
      <c r="G21" s="12"/>
      <c r="H21" s="15" t="str">
        <f aca="false">IF(C21="","",IF(D21="Mensal",C21,IF(D21="Anual",C21/12,0)))</f>
        <v/>
      </c>
    </row>
    <row r="22" customFormat="false" ht="15" hidden="false" customHeight="false" outlineLevel="0" collapsed="false">
      <c r="A22" s="12"/>
      <c r="B22" s="12"/>
      <c r="C22" s="13"/>
      <c r="D22" s="12"/>
      <c r="E22" s="14"/>
      <c r="F22" s="14"/>
      <c r="G22" s="12"/>
      <c r="H22" s="15" t="str">
        <f aca="false">IF(C22="","",IF(D22="Mensal",C22,IF(D22="Anual",C22/12,0)))</f>
        <v/>
      </c>
    </row>
    <row r="23" customFormat="false" ht="15" hidden="false" customHeight="false" outlineLevel="0" collapsed="false">
      <c r="A23" s="12"/>
      <c r="B23" s="12"/>
      <c r="C23" s="13"/>
      <c r="D23" s="12"/>
      <c r="E23" s="14"/>
      <c r="F23" s="14"/>
      <c r="G23" s="12"/>
      <c r="H23" s="15" t="str">
        <f aca="false">IF(C23="","",IF(D23="Mensal",C23,IF(D23="Anual",C23/12,0)))</f>
        <v/>
      </c>
    </row>
    <row r="24" customFormat="false" ht="15" hidden="false" customHeight="false" outlineLevel="0" collapsed="false">
      <c r="A24" s="12"/>
      <c r="B24" s="12"/>
      <c r="C24" s="13"/>
      <c r="D24" s="12"/>
      <c r="E24" s="14"/>
      <c r="F24" s="14"/>
      <c r="G24" s="12"/>
      <c r="H24" s="15" t="str">
        <f aca="false">IF(C24="","",IF(D24="Mensal",C24,IF(D24="Anual",C24/12,0)))</f>
        <v/>
      </c>
    </row>
    <row r="25" customFormat="false" ht="15" hidden="false" customHeight="false" outlineLevel="0" collapsed="false">
      <c r="A25" s="12"/>
      <c r="B25" s="12"/>
      <c r="C25" s="13"/>
      <c r="D25" s="12"/>
      <c r="E25" s="14"/>
      <c r="F25" s="14"/>
      <c r="G25" s="12"/>
      <c r="H25" s="15" t="str">
        <f aca="false">IF(C25="","",IF(D25="Mensal",C25,IF(D25="Anual",C25/12,0)))</f>
        <v/>
      </c>
    </row>
    <row r="26" customFormat="false" ht="15" hidden="false" customHeight="false" outlineLevel="0" collapsed="false">
      <c r="A26" s="12"/>
      <c r="B26" s="12"/>
      <c r="C26" s="13"/>
      <c r="D26" s="12"/>
      <c r="E26" s="14"/>
      <c r="F26" s="14"/>
      <c r="G26" s="12"/>
      <c r="H26" s="15" t="str">
        <f aca="false">IF(C26="","",IF(D26="Mensal",C26,IF(D26="Anual",C26/12,0)))</f>
        <v/>
      </c>
    </row>
    <row r="27" customFormat="false" ht="15" hidden="false" customHeight="false" outlineLevel="0" collapsed="false">
      <c r="A27" s="12"/>
      <c r="B27" s="12"/>
      <c r="C27" s="13"/>
      <c r="D27" s="12"/>
      <c r="E27" s="14"/>
      <c r="F27" s="14"/>
      <c r="G27" s="12"/>
      <c r="H27" s="15" t="str">
        <f aca="false">IF(C27="","",IF(D27="Mensal",C27,IF(D27="Anual",C27/12,0)))</f>
        <v/>
      </c>
    </row>
    <row r="28" customFormat="false" ht="15" hidden="false" customHeight="false" outlineLevel="0" collapsed="false">
      <c r="A28" s="12"/>
      <c r="B28" s="12"/>
      <c r="C28" s="13"/>
      <c r="D28" s="12"/>
      <c r="E28" s="14"/>
      <c r="F28" s="14"/>
      <c r="G28" s="12"/>
      <c r="H28" s="15" t="str">
        <f aca="false">IF(C28="","",IF(D28="Mensal",C28,IF(D28="Anual",C28/12,0)))</f>
        <v/>
      </c>
    </row>
    <row r="29" customFormat="false" ht="15" hidden="false" customHeight="false" outlineLevel="0" collapsed="false">
      <c r="A29" s="12"/>
      <c r="B29" s="12"/>
      <c r="C29" s="13"/>
      <c r="D29" s="12"/>
      <c r="E29" s="14"/>
      <c r="F29" s="14"/>
      <c r="G29" s="12"/>
      <c r="H29" s="15" t="str">
        <f aca="false">IF(C29="","",IF(D29="Mensal",C29,IF(D29="Anual",C29/12,0)))</f>
        <v/>
      </c>
    </row>
    <row r="30" customFormat="false" ht="15" hidden="false" customHeight="false" outlineLevel="0" collapsed="false">
      <c r="A30" s="12"/>
      <c r="B30" s="12"/>
      <c r="C30" s="13"/>
      <c r="D30" s="12"/>
      <c r="E30" s="14"/>
      <c r="F30" s="14"/>
      <c r="G30" s="12"/>
      <c r="H30" s="15" t="str">
        <f aca="false">IF(C30="","",IF(D30="Mensal",C30,IF(D30="Anual",C30/12,0)))</f>
        <v/>
      </c>
    </row>
    <row r="31" customFormat="false" ht="15" hidden="false" customHeight="false" outlineLevel="0" collapsed="false">
      <c r="A31" s="12"/>
      <c r="B31" s="12"/>
      <c r="C31" s="13"/>
      <c r="D31" s="12"/>
      <c r="E31" s="14"/>
      <c r="F31" s="14"/>
      <c r="G31" s="12"/>
      <c r="H31" s="15" t="str">
        <f aca="false">IF(C31="","",IF(D31="Mensal",C31,IF(D31="Anual",C31/12,0)))</f>
        <v/>
      </c>
    </row>
    <row r="32" customFormat="false" ht="15" hidden="false" customHeight="false" outlineLevel="0" collapsed="false">
      <c r="A32" s="12"/>
      <c r="B32" s="12"/>
      <c r="C32" s="13"/>
      <c r="D32" s="12"/>
      <c r="E32" s="14"/>
      <c r="F32" s="14"/>
      <c r="G32" s="12"/>
      <c r="H32" s="15" t="str">
        <f aca="false">IF(C32="","",IF(D32="Mensal",C32,IF(D32="Anual",C32/12,0)))</f>
        <v/>
      </c>
    </row>
    <row r="33" customFormat="false" ht="15" hidden="false" customHeight="false" outlineLevel="0" collapsed="false">
      <c r="A33" s="12"/>
      <c r="B33" s="12"/>
      <c r="C33" s="13"/>
      <c r="D33" s="12"/>
      <c r="E33" s="14"/>
      <c r="F33" s="14"/>
      <c r="G33" s="12"/>
      <c r="H33" s="15" t="str">
        <f aca="false">IF(C33="","",IF(D33="Mensal",C33,IF(D33="Anual",C33/12,0)))</f>
        <v/>
      </c>
    </row>
    <row r="34" customFormat="false" ht="15" hidden="false" customHeight="false" outlineLevel="0" collapsed="false">
      <c r="A34" s="12"/>
      <c r="B34" s="12"/>
      <c r="C34" s="13"/>
      <c r="D34" s="12"/>
      <c r="E34" s="14"/>
      <c r="F34" s="14"/>
      <c r="G34" s="12"/>
      <c r="H34" s="15" t="str">
        <f aca="false">IF(C34="","",IF(D34="Mensal",C34,IF(D34="Anual",C34/12,0)))</f>
        <v/>
      </c>
    </row>
    <row r="35" customFormat="false" ht="15" hidden="false" customHeight="false" outlineLevel="0" collapsed="false">
      <c r="A35" s="12"/>
      <c r="B35" s="12"/>
      <c r="C35" s="13"/>
      <c r="D35" s="12"/>
      <c r="E35" s="14"/>
      <c r="F35" s="14"/>
      <c r="G35" s="12"/>
      <c r="H35" s="15" t="str">
        <f aca="false">IF(C35="","",IF(D35="Mensal",C35,IF(D35="Anual",C35/12,0)))</f>
        <v/>
      </c>
    </row>
    <row r="36" customFormat="false" ht="15" hidden="false" customHeight="false" outlineLevel="0" collapsed="false">
      <c r="A36" s="12"/>
      <c r="B36" s="12"/>
      <c r="C36" s="13"/>
      <c r="D36" s="12"/>
      <c r="E36" s="14"/>
      <c r="F36" s="14"/>
      <c r="G36" s="12"/>
      <c r="H36" s="15" t="str">
        <f aca="false">IF(C36="","",IF(D36="Mensal",C36,IF(D36="Anual",C36/12,0)))</f>
        <v/>
      </c>
    </row>
    <row r="37" customFormat="false" ht="15" hidden="false" customHeight="false" outlineLevel="0" collapsed="false">
      <c r="A37" s="12"/>
      <c r="B37" s="12"/>
      <c r="C37" s="13"/>
      <c r="D37" s="12"/>
      <c r="E37" s="14"/>
      <c r="F37" s="14"/>
      <c r="G37" s="12"/>
      <c r="H37" s="15" t="str">
        <f aca="false">IF(C37="","",IF(D37="Mensal",C37,IF(D37="Anual",C37/12,0)))</f>
        <v/>
      </c>
    </row>
    <row r="38" customFormat="false" ht="15" hidden="false" customHeight="false" outlineLevel="0" collapsed="false">
      <c r="A38" s="12"/>
      <c r="B38" s="12"/>
      <c r="C38" s="13"/>
      <c r="D38" s="12"/>
      <c r="E38" s="14"/>
      <c r="F38" s="14"/>
      <c r="G38" s="12"/>
      <c r="H38" s="15" t="str">
        <f aca="false">IF(C38="","",IF(D38="Mensal",C38,IF(D38="Anual",C38/12,0)))</f>
        <v/>
      </c>
    </row>
    <row r="39" customFormat="false" ht="15" hidden="false" customHeight="false" outlineLevel="0" collapsed="false">
      <c r="A39" s="12"/>
      <c r="B39" s="12"/>
      <c r="C39" s="13"/>
      <c r="D39" s="12"/>
      <c r="E39" s="14"/>
      <c r="F39" s="14"/>
      <c r="G39" s="12"/>
      <c r="H39" s="15" t="str">
        <f aca="false">IF(C39="","",IF(D39="Mensal",C39,IF(D39="Anual",C39/12,0)))</f>
        <v/>
      </c>
    </row>
    <row r="40" customFormat="false" ht="15" hidden="false" customHeight="false" outlineLevel="0" collapsed="false">
      <c r="A40" s="12"/>
      <c r="B40" s="12"/>
      <c r="C40" s="13"/>
      <c r="D40" s="12"/>
      <c r="E40" s="14"/>
      <c r="F40" s="14"/>
      <c r="G40" s="12"/>
      <c r="H40" s="15" t="str">
        <f aca="false">IF(C40="","",IF(D40="Mensal",C40,IF(D40="Anual",C40/12,0)))</f>
        <v/>
      </c>
    </row>
    <row r="41" customFormat="false" ht="15" hidden="false" customHeight="false" outlineLevel="0" collapsed="false">
      <c r="A41" s="12"/>
      <c r="B41" s="12"/>
      <c r="C41" s="13"/>
      <c r="D41" s="12"/>
      <c r="E41" s="14"/>
      <c r="F41" s="14"/>
      <c r="G41" s="12"/>
      <c r="H41" s="15" t="str">
        <f aca="false">IF(C41="","",IF(D41="Mensal",C41,IF(D41="Anual",C41/12,0)))</f>
        <v/>
      </c>
    </row>
    <row r="42" customFormat="false" ht="15" hidden="false" customHeight="false" outlineLevel="0" collapsed="false">
      <c r="A42" s="12"/>
      <c r="B42" s="12"/>
      <c r="C42" s="13"/>
      <c r="D42" s="12"/>
      <c r="E42" s="14"/>
      <c r="F42" s="14"/>
      <c r="G42" s="12"/>
      <c r="H42" s="15" t="str">
        <f aca="false">IF(C42="","",IF(D42="Mensal",C42,IF(D42="Anual",C42/12,0)))</f>
        <v/>
      </c>
    </row>
    <row r="43" customFormat="false" ht="15" hidden="false" customHeight="false" outlineLevel="0" collapsed="false">
      <c r="A43" s="12"/>
      <c r="B43" s="12"/>
      <c r="C43" s="13"/>
      <c r="D43" s="12"/>
      <c r="E43" s="14"/>
      <c r="F43" s="14"/>
      <c r="G43" s="12"/>
      <c r="H43" s="15" t="str">
        <f aca="false">IF(C43="","",IF(D43="Mensal",C43,IF(D43="Anual",C43/12,0)))</f>
        <v/>
      </c>
    </row>
    <row r="44" customFormat="false" ht="15" hidden="false" customHeight="false" outlineLevel="0" collapsed="false">
      <c r="A44" s="12"/>
      <c r="B44" s="12"/>
      <c r="C44" s="13"/>
      <c r="D44" s="12"/>
      <c r="E44" s="14"/>
      <c r="F44" s="14"/>
      <c r="G44" s="12"/>
      <c r="H44" s="15" t="str">
        <f aca="false">IF(C44="","",IF(D44="Mensal",C44,IF(D44="Anual",C44/12,0)))</f>
        <v/>
      </c>
    </row>
    <row r="45" customFormat="false" ht="15" hidden="false" customHeight="false" outlineLevel="0" collapsed="false">
      <c r="A45" s="12"/>
      <c r="B45" s="12"/>
      <c r="C45" s="13"/>
      <c r="D45" s="12"/>
      <c r="E45" s="14"/>
      <c r="F45" s="14"/>
      <c r="G45" s="12"/>
      <c r="H45" s="15" t="str">
        <f aca="false">IF(C45="","",IF(D45="Mensal",C45,IF(D45="Anual",C45/12,0)))</f>
        <v/>
      </c>
    </row>
    <row r="46" customFormat="false" ht="15" hidden="false" customHeight="false" outlineLevel="0" collapsed="false">
      <c r="A46" s="12"/>
      <c r="B46" s="12"/>
      <c r="C46" s="13"/>
      <c r="D46" s="12"/>
      <c r="E46" s="14"/>
      <c r="F46" s="14"/>
      <c r="G46" s="12"/>
      <c r="H46" s="15" t="str">
        <f aca="false">IF(C46="","",IF(D46="Mensal",C46,IF(D46="Anual",C46/12,0)))</f>
        <v/>
      </c>
    </row>
    <row r="47" customFormat="false" ht="15" hidden="false" customHeight="false" outlineLevel="0" collapsed="false">
      <c r="A47" s="12"/>
      <c r="B47" s="12"/>
      <c r="C47" s="13"/>
      <c r="D47" s="12"/>
      <c r="E47" s="14"/>
      <c r="F47" s="14"/>
      <c r="G47" s="12"/>
      <c r="H47" s="15" t="str">
        <f aca="false">IF(C47="","",IF(D47="Mensal",C47,IF(D47="Anual",C47/12,0)))</f>
        <v/>
      </c>
    </row>
    <row r="48" customFormat="false" ht="15" hidden="false" customHeight="false" outlineLevel="0" collapsed="false">
      <c r="A48" s="12"/>
      <c r="B48" s="12"/>
      <c r="C48" s="13"/>
      <c r="D48" s="12"/>
      <c r="E48" s="14"/>
      <c r="F48" s="14"/>
      <c r="G48" s="12"/>
      <c r="H48" s="15" t="str">
        <f aca="false">IF(C48="","",IF(D48="Mensal",C48,IF(D48="Anual",C48/12,0)))</f>
        <v/>
      </c>
    </row>
    <row r="49" customFormat="false" ht="15" hidden="false" customHeight="false" outlineLevel="0" collapsed="false">
      <c r="A49" s="12"/>
      <c r="B49" s="12"/>
      <c r="C49" s="13"/>
      <c r="D49" s="12"/>
      <c r="E49" s="14"/>
      <c r="F49" s="14"/>
      <c r="G49" s="12"/>
      <c r="H49" s="15" t="str">
        <f aca="false">IF(C49="","",IF(D49="Mensal",C49,IF(D49="Anual",C49/12,0)))</f>
        <v/>
      </c>
    </row>
    <row r="50" customFormat="false" ht="15" hidden="false" customHeight="false" outlineLevel="0" collapsed="false">
      <c r="A50" s="12"/>
      <c r="B50" s="12"/>
      <c r="C50" s="13"/>
      <c r="D50" s="12"/>
      <c r="E50" s="14"/>
      <c r="F50" s="14"/>
      <c r="G50" s="12"/>
      <c r="H50" s="15" t="str">
        <f aca="false">IF(C50="","",IF(D50="Mensal",C50,IF(D50="Anual",C50/12,0)))</f>
        <v/>
      </c>
    </row>
    <row r="51" customFormat="false" ht="15" hidden="false" customHeight="false" outlineLevel="0" collapsed="false">
      <c r="A51" s="12"/>
      <c r="B51" s="12"/>
      <c r="C51" s="13"/>
      <c r="D51" s="12"/>
      <c r="E51" s="14"/>
      <c r="F51" s="14"/>
      <c r="G51" s="12"/>
      <c r="H51" s="15" t="str">
        <f aca="false">IF(C51="","",IF(D51="Mensal",C51,IF(D51="Anual",C51/12,0)))</f>
        <v/>
      </c>
    </row>
    <row r="52" customFormat="false" ht="15" hidden="false" customHeight="false" outlineLevel="0" collapsed="false">
      <c r="A52" s="12"/>
      <c r="B52" s="12"/>
      <c r="C52" s="13"/>
      <c r="D52" s="12"/>
      <c r="E52" s="14"/>
      <c r="F52" s="14"/>
      <c r="G52" s="12"/>
      <c r="H52" s="15" t="str">
        <f aca="false">IF(C52="","",IF(D52="Mensal",C52,IF(D52="Anual",C52/12,0)))</f>
        <v/>
      </c>
    </row>
    <row r="53" customFormat="false" ht="15" hidden="false" customHeight="false" outlineLevel="0" collapsed="false">
      <c r="A53" s="12"/>
      <c r="B53" s="12"/>
      <c r="C53" s="13"/>
      <c r="D53" s="12"/>
      <c r="E53" s="14"/>
      <c r="F53" s="14"/>
      <c r="G53" s="12"/>
      <c r="H53" s="15" t="str">
        <f aca="false">IF(C53="","",IF(D53="Mensal",C53,IF(D53="Anual",C53/12,0)))</f>
        <v/>
      </c>
    </row>
    <row r="54" customFormat="false" ht="15" hidden="false" customHeight="false" outlineLevel="0" collapsed="false">
      <c r="A54" s="12"/>
      <c r="B54" s="12"/>
      <c r="C54" s="13"/>
      <c r="D54" s="12"/>
      <c r="E54" s="14"/>
      <c r="F54" s="14"/>
      <c r="G54" s="12"/>
      <c r="H54" s="15" t="str">
        <f aca="false">IF(C54="","",IF(D54="Mensal",C54,IF(D54="Anual",C54/12,0)))</f>
        <v/>
      </c>
    </row>
    <row r="55" customFormat="false" ht="15" hidden="false" customHeight="false" outlineLevel="0" collapsed="false">
      <c r="A55" s="12"/>
      <c r="B55" s="12"/>
      <c r="C55" s="13"/>
      <c r="D55" s="12"/>
      <c r="E55" s="14"/>
      <c r="F55" s="14"/>
      <c r="G55" s="12"/>
      <c r="H55" s="15" t="str">
        <f aca="false">IF(C55="","",IF(D55="Mensal",C55,IF(D55="Anual",C55/12,0)))</f>
        <v/>
      </c>
    </row>
    <row r="56" customFormat="false" ht="15" hidden="false" customHeight="false" outlineLevel="0" collapsed="false">
      <c r="A56" s="12"/>
      <c r="B56" s="12"/>
      <c r="C56" s="13"/>
      <c r="D56" s="12"/>
      <c r="E56" s="14"/>
      <c r="F56" s="14"/>
      <c r="G56" s="12"/>
      <c r="H56" s="15" t="str">
        <f aca="false">IF(C56="","",IF(D56="Mensal",C56,IF(D56="Anual",C56/12,0)))</f>
        <v/>
      </c>
    </row>
    <row r="57" customFormat="false" ht="15" hidden="false" customHeight="false" outlineLevel="0" collapsed="false">
      <c r="A57" s="12"/>
      <c r="B57" s="12"/>
      <c r="C57" s="13"/>
      <c r="D57" s="12"/>
      <c r="E57" s="14"/>
      <c r="F57" s="14"/>
      <c r="G57" s="12"/>
      <c r="H57" s="15" t="str">
        <f aca="false">IF(C57="","",IF(D57="Mensal",C57,IF(D57="Anual",C57/12,0)))</f>
        <v/>
      </c>
    </row>
    <row r="58" customFormat="false" ht="15" hidden="false" customHeight="false" outlineLevel="0" collapsed="false">
      <c r="A58" s="12"/>
      <c r="B58" s="12"/>
      <c r="C58" s="13"/>
      <c r="D58" s="12"/>
      <c r="E58" s="14"/>
      <c r="F58" s="14"/>
      <c r="G58" s="12"/>
      <c r="H58" s="15" t="str">
        <f aca="false">IF(C58="","",IF(D58="Mensal",C58,IF(D58="Anual",C58/12,0)))</f>
        <v/>
      </c>
    </row>
    <row r="59" customFormat="false" ht="15" hidden="false" customHeight="false" outlineLevel="0" collapsed="false">
      <c r="A59" s="12"/>
      <c r="B59" s="12"/>
      <c r="C59" s="13"/>
      <c r="D59" s="12"/>
      <c r="E59" s="14"/>
      <c r="F59" s="14"/>
      <c r="G59" s="12"/>
      <c r="H59" s="15" t="str">
        <f aca="false">IF(C59="","",IF(D59="Mensal",C59,IF(D59="Anual",C59/12,0)))</f>
        <v/>
      </c>
    </row>
    <row r="60" customFormat="false" ht="15" hidden="false" customHeight="false" outlineLevel="0" collapsed="false">
      <c r="A60" s="12"/>
      <c r="B60" s="12"/>
      <c r="C60" s="13"/>
      <c r="D60" s="12"/>
      <c r="E60" s="14"/>
      <c r="F60" s="14"/>
      <c r="G60" s="12"/>
      <c r="H60" s="15" t="str">
        <f aca="false">IF(C60="","",IF(D60="Mensal",C60,IF(D60="Anual",C60/12,0)))</f>
        <v/>
      </c>
    </row>
    <row r="61" customFormat="false" ht="15" hidden="false" customHeight="false" outlineLevel="0" collapsed="false">
      <c r="A61" s="12"/>
      <c r="B61" s="12"/>
      <c r="C61" s="13"/>
      <c r="D61" s="12"/>
      <c r="E61" s="14"/>
      <c r="F61" s="14"/>
      <c r="G61" s="12"/>
      <c r="H61" s="15" t="str">
        <f aca="false">IF(C61="","",IF(D61="Mensal",C61,IF(D61="Anual",C61/12,0)))</f>
        <v/>
      </c>
    </row>
  </sheetData>
  <dataValidations count="2">
    <dataValidation allowBlank="true" errorStyle="stop" operator="between" showDropDown="false" showErrorMessage="false" showInputMessage="false" sqref="D2:D61" type="list">
      <formula1>"Mensal,Anual,Única"</formula1>
      <formula2>0</formula2>
    </dataValidation>
    <dataValidation allowBlank="true" errorStyle="stop" operator="between" showDropDown="false" showErrorMessage="false" showInputMessage="false" sqref="G2:G61" type="list">
      <formula1>"Sim,Não"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1" t="s">
        <v>35</v>
      </c>
      <c r="B1" s="11" t="s">
        <v>36</v>
      </c>
      <c r="C1" s="11" t="s">
        <v>53</v>
      </c>
      <c r="D1" s="11" t="s">
        <v>37</v>
      </c>
      <c r="E1" s="11" t="s">
        <v>11</v>
      </c>
      <c r="F1" s="11" t="s">
        <v>38</v>
      </c>
      <c r="G1" s="11" t="s">
        <v>39</v>
      </c>
      <c r="H1" s="11" t="s">
        <v>13</v>
      </c>
      <c r="I1" s="11" t="s">
        <v>40</v>
      </c>
      <c r="J1" s="11" t="s">
        <v>54</v>
      </c>
    </row>
    <row r="2" customFormat="false" ht="15" hidden="false" customHeight="false" outlineLevel="0" collapsed="false">
      <c r="A2" s="12" t="s">
        <v>55</v>
      </c>
      <c r="B2" s="12" t="s">
        <v>56</v>
      </c>
      <c r="C2" s="12" t="s">
        <v>57</v>
      </c>
      <c r="D2" s="13" t="n">
        <v>60</v>
      </c>
      <c r="E2" s="12" t="s">
        <v>43</v>
      </c>
      <c r="F2" s="14"/>
      <c r="G2" s="14"/>
      <c r="H2" s="12" t="s">
        <v>47</v>
      </c>
      <c r="I2" s="15" t="n">
        <f aca="false">IF(D2="","",IF(E2="Mensal",D2,IF(E2="Anual",D2/12,0)))</f>
        <v>60</v>
      </c>
      <c r="J2" s="12" t="s">
        <v>58</v>
      </c>
    </row>
    <row r="3" customFormat="false" ht="15" hidden="false" customHeight="false" outlineLevel="0" collapsed="false">
      <c r="A3" s="12" t="s">
        <v>59</v>
      </c>
      <c r="B3" s="12" t="s">
        <v>60</v>
      </c>
      <c r="C3" s="12" t="s">
        <v>57</v>
      </c>
      <c r="D3" s="13" t="n">
        <v>650</v>
      </c>
      <c r="E3" s="12" t="s">
        <v>43</v>
      </c>
      <c r="F3" s="14"/>
      <c r="G3" s="14"/>
      <c r="H3" s="12" t="s">
        <v>44</v>
      </c>
      <c r="I3" s="15" t="n">
        <f aca="false">IF(D3="","",IF(E3="Mensal",D3,IF(E3="Anual",D3/12,0)))</f>
        <v>650</v>
      </c>
      <c r="J3" s="12"/>
    </row>
    <row r="4" customFormat="false" ht="15" hidden="false" customHeight="false" outlineLevel="0" collapsed="false">
      <c r="A4" s="12" t="s">
        <v>61</v>
      </c>
      <c r="B4" s="12" t="s">
        <v>60</v>
      </c>
      <c r="C4" s="12" t="s">
        <v>57</v>
      </c>
      <c r="D4" s="13" t="n">
        <v>120</v>
      </c>
      <c r="E4" s="12" t="s">
        <v>43</v>
      </c>
      <c r="F4" s="14"/>
      <c r="G4" s="14"/>
      <c r="H4" s="12" t="s">
        <v>44</v>
      </c>
      <c r="I4" s="15" t="n">
        <f aca="false">IF(D4="","",IF(E4="Mensal",D4,IF(E4="Anual",D4/12,0)))</f>
        <v>120</v>
      </c>
      <c r="J4" s="12" t="s">
        <v>58</v>
      </c>
    </row>
    <row r="5" customFormat="false" ht="15" hidden="false" customHeight="false" outlineLevel="0" collapsed="false">
      <c r="A5" s="12" t="s">
        <v>62</v>
      </c>
      <c r="B5" s="12" t="s">
        <v>63</v>
      </c>
      <c r="C5" s="12" t="s">
        <v>64</v>
      </c>
      <c r="D5" s="13" t="n">
        <v>450</v>
      </c>
      <c r="E5" s="12" t="s">
        <v>43</v>
      </c>
      <c r="F5" s="14"/>
      <c r="G5" s="14"/>
      <c r="H5" s="12" t="s">
        <v>44</v>
      </c>
      <c r="I5" s="15" t="n">
        <f aca="false">IF(D5="","",IF(E5="Mensal",D5,IF(E5="Anual",D5/12,0)))</f>
        <v>450</v>
      </c>
      <c r="J5" s="12" t="s">
        <v>58</v>
      </c>
    </row>
    <row r="6" customFormat="false" ht="15" hidden="false" customHeight="false" outlineLevel="0" collapsed="false">
      <c r="A6" s="12" t="s">
        <v>65</v>
      </c>
      <c r="B6" s="12" t="s">
        <v>66</v>
      </c>
      <c r="C6" s="12" t="s">
        <v>64</v>
      </c>
      <c r="D6" s="13" t="n">
        <v>250</v>
      </c>
      <c r="E6" s="12" t="s">
        <v>43</v>
      </c>
      <c r="F6" s="14"/>
      <c r="G6" s="14"/>
      <c r="H6" s="12" t="s">
        <v>44</v>
      </c>
      <c r="I6" s="15" t="n">
        <f aca="false">IF(D6="","",IF(E6="Mensal",D6,IF(E6="Anual",D6/12,0)))</f>
        <v>250</v>
      </c>
      <c r="J6" s="12" t="s">
        <v>58</v>
      </c>
    </row>
    <row r="7" customFormat="false" ht="15" hidden="false" customHeight="false" outlineLevel="0" collapsed="false">
      <c r="A7" s="12" t="s">
        <v>67</v>
      </c>
      <c r="B7" s="12" t="s">
        <v>63</v>
      </c>
      <c r="C7" s="12" t="s">
        <v>57</v>
      </c>
      <c r="D7" s="13" t="n">
        <v>2400</v>
      </c>
      <c r="E7" s="12" t="s">
        <v>49</v>
      </c>
      <c r="F7" s="14" t="n">
        <v>46447</v>
      </c>
      <c r="G7" s="14"/>
      <c r="H7" s="12" t="s">
        <v>44</v>
      </c>
      <c r="I7" s="15" t="n">
        <f aca="false">IF(D7="","",IF(E7="Mensal",D7,IF(E7="Anual",D7/12,0)))</f>
        <v>200</v>
      </c>
      <c r="J7" s="12"/>
    </row>
    <row r="8" customFormat="false" ht="15" hidden="false" customHeight="false" outlineLevel="0" collapsed="false">
      <c r="A8" s="12" t="s">
        <v>68</v>
      </c>
      <c r="B8" s="12" t="s">
        <v>63</v>
      </c>
      <c r="C8" s="12" t="s">
        <v>57</v>
      </c>
      <c r="D8" s="13" t="n">
        <v>1800</v>
      </c>
      <c r="E8" s="12" t="s">
        <v>49</v>
      </c>
      <c r="F8" s="14" t="n">
        <v>46388</v>
      </c>
      <c r="G8" s="14"/>
      <c r="H8" s="12" t="s">
        <v>44</v>
      </c>
      <c r="I8" s="15" t="n">
        <f aca="false">IF(D8="","",IF(E8="Mensal",D8,IF(E8="Anual",D8/12,0)))</f>
        <v>150</v>
      </c>
      <c r="J8" s="12"/>
    </row>
    <row r="9" customFormat="false" ht="15" hidden="false" customHeight="false" outlineLevel="0" collapsed="false">
      <c r="A9" s="12"/>
      <c r="B9" s="12"/>
      <c r="C9" s="12"/>
      <c r="D9" s="13"/>
      <c r="E9" s="12"/>
      <c r="F9" s="14"/>
      <c r="G9" s="14"/>
      <c r="H9" s="12"/>
      <c r="I9" s="15" t="str">
        <f aca="false">IF(D9="","",IF(E9="Mensal",D9,IF(E9="Anual",D9/12,0)))</f>
        <v/>
      </c>
      <c r="J9" s="12"/>
    </row>
    <row r="10" customFormat="false" ht="15" hidden="false" customHeight="false" outlineLevel="0" collapsed="false">
      <c r="A10" s="12"/>
      <c r="B10" s="12"/>
      <c r="C10" s="12"/>
      <c r="D10" s="13"/>
      <c r="E10" s="12"/>
      <c r="F10" s="14"/>
      <c r="G10" s="14"/>
      <c r="H10" s="12"/>
      <c r="I10" s="15" t="str">
        <f aca="false">IF(D10="","",IF(E10="Mensal",D10,IF(E10="Anual",D10/12,0)))</f>
        <v/>
      </c>
      <c r="J10" s="12"/>
    </row>
    <row r="11" customFormat="false" ht="15" hidden="false" customHeight="false" outlineLevel="0" collapsed="false">
      <c r="A11" s="12"/>
      <c r="B11" s="12"/>
      <c r="C11" s="12"/>
      <c r="D11" s="13"/>
      <c r="E11" s="12"/>
      <c r="F11" s="14"/>
      <c r="G11" s="14"/>
      <c r="H11" s="12"/>
      <c r="I11" s="15" t="str">
        <f aca="false">IF(D11="","",IF(E11="Mensal",D11,IF(E11="Anual",D11/12,0)))</f>
        <v/>
      </c>
      <c r="J11" s="12"/>
    </row>
    <row r="12" customFormat="false" ht="15" hidden="false" customHeight="false" outlineLevel="0" collapsed="false">
      <c r="A12" s="12"/>
      <c r="B12" s="12"/>
      <c r="C12" s="12"/>
      <c r="D12" s="13"/>
      <c r="E12" s="12"/>
      <c r="F12" s="14"/>
      <c r="G12" s="14"/>
      <c r="H12" s="12"/>
      <c r="I12" s="15" t="str">
        <f aca="false">IF(D12="","",IF(E12="Mensal",D12,IF(E12="Anual",D12/12,0)))</f>
        <v/>
      </c>
      <c r="J12" s="12"/>
    </row>
    <row r="13" customFormat="false" ht="15" hidden="false" customHeight="false" outlineLevel="0" collapsed="false">
      <c r="A13" s="12"/>
      <c r="B13" s="12"/>
      <c r="C13" s="12"/>
      <c r="D13" s="13"/>
      <c r="E13" s="12"/>
      <c r="F13" s="14"/>
      <c r="G13" s="14"/>
      <c r="H13" s="12"/>
      <c r="I13" s="15" t="str">
        <f aca="false">IF(D13="","",IF(E13="Mensal",D13,IF(E13="Anual",D13/12,0)))</f>
        <v/>
      </c>
      <c r="J13" s="12"/>
    </row>
    <row r="14" customFormat="false" ht="15" hidden="false" customHeight="false" outlineLevel="0" collapsed="false">
      <c r="A14" s="12"/>
      <c r="B14" s="12"/>
      <c r="C14" s="12"/>
      <c r="D14" s="13"/>
      <c r="E14" s="12"/>
      <c r="F14" s="14"/>
      <c r="G14" s="14"/>
      <c r="H14" s="12"/>
      <c r="I14" s="15" t="str">
        <f aca="false">IF(D14="","",IF(E14="Mensal",D14,IF(E14="Anual",D14/12,0)))</f>
        <v/>
      </c>
      <c r="J14" s="12"/>
    </row>
    <row r="15" customFormat="false" ht="15" hidden="false" customHeight="false" outlineLevel="0" collapsed="false">
      <c r="A15" s="12"/>
      <c r="B15" s="12"/>
      <c r="C15" s="12"/>
      <c r="D15" s="13"/>
      <c r="E15" s="12"/>
      <c r="F15" s="14"/>
      <c r="G15" s="14"/>
      <c r="H15" s="12"/>
      <c r="I15" s="15" t="str">
        <f aca="false">IF(D15="","",IF(E15="Mensal",D15,IF(E15="Anual",D15/12,0)))</f>
        <v/>
      </c>
      <c r="J15" s="12"/>
    </row>
    <row r="16" customFormat="false" ht="15" hidden="false" customHeight="false" outlineLevel="0" collapsed="false">
      <c r="A16" s="12"/>
      <c r="B16" s="12"/>
      <c r="C16" s="12"/>
      <c r="D16" s="13"/>
      <c r="E16" s="12"/>
      <c r="F16" s="14"/>
      <c r="G16" s="14"/>
      <c r="H16" s="12"/>
      <c r="I16" s="15" t="str">
        <f aca="false">IF(D16="","",IF(E16="Mensal",D16,IF(E16="Anual",D16/12,0)))</f>
        <v/>
      </c>
      <c r="J16" s="12"/>
    </row>
    <row r="17" customFormat="false" ht="15" hidden="false" customHeight="false" outlineLevel="0" collapsed="false">
      <c r="A17" s="12"/>
      <c r="B17" s="12"/>
      <c r="C17" s="12"/>
      <c r="D17" s="13"/>
      <c r="E17" s="12"/>
      <c r="F17" s="14"/>
      <c r="G17" s="14"/>
      <c r="H17" s="12"/>
      <c r="I17" s="15" t="str">
        <f aca="false">IF(D17="","",IF(E17="Mensal",D17,IF(E17="Anual",D17/12,0)))</f>
        <v/>
      </c>
      <c r="J17" s="12"/>
    </row>
    <row r="18" customFormat="false" ht="15" hidden="false" customHeight="false" outlineLevel="0" collapsed="false">
      <c r="A18" s="12"/>
      <c r="B18" s="12"/>
      <c r="C18" s="12"/>
      <c r="D18" s="13"/>
      <c r="E18" s="12"/>
      <c r="F18" s="14"/>
      <c r="G18" s="14"/>
      <c r="H18" s="12"/>
      <c r="I18" s="15" t="str">
        <f aca="false">IF(D18="","",IF(E18="Mensal",D18,IF(E18="Anual",D18/12,0)))</f>
        <v/>
      </c>
      <c r="J18" s="12"/>
    </row>
    <row r="19" customFormat="false" ht="15" hidden="false" customHeight="false" outlineLevel="0" collapsed="false">
      <c r="A19" s="12"/>
      <c r="B19" s="12"/>
      <c r="C19" s="12"/>
      <c r="D19" s="13"/>
      <c r="E19" s="12"/>
      <c r="F19" s="14"/>
      <c r="G19" s="14"/>
      <c r="H19" s="12"/>
      <c r="I19" s="15" t="str">
        <f aca="false">IF(D19="","",IF(E19="Mensal",D19,IF(E19="Anual",D19/12,0)))</f>
        <v/>
      </c>
      <c r="J19" s="12"/>
    </row>
    <row r="20" customFormat="false" ht="15" hidden="false" customHeight="false" outlineLevel="0" collapsed="false">
      <c r="A20" s="12"/>
      <c r="B20" s="12"/>
      <c r="C20" s="12"/>
      <c r="D20" s="13"/>
      <c r="E20" s="12"/>
      <c r="F20" s="14"/>
      <c r="G20" s="14"/>
      <c r="H20" s="12"/>
      <c r="I20" s="15" t="str">
        <f aca="false">IF(D20="","",IF(E20="Mensal",D20,IF(E20="Anual",D20/12,0)))</f>
        <v/>
      </c>
      <c r="J20" s="12"/>
    </row>
    <row r="21" customFormat="false" ht="15" hidden="false" customHeight="false" outlineLevel="0" collapsed="false">
      <c r="A21" s="12"/>
      <c r="B21" s="12"/>
      <c r="C21" s="12"/>
      <c r="D21" s="13"/>
      <c r="E21" s="12"/>
      <c r="F21" s="14"/>
      <c r="G21" s="14"/>
      <c r="H21" s="12"/>
      <c r="I21" s="15" t="str">
        <f aca="false">IF(D21="","",IF(E21="Mensal",D21,IF(E21="Anual",D21/12,0)))</f>
        <v/>
      </c>
      <c r="J21" s="12"/>
    </row>
    <row r="22" customFormat="false" ht="15" hidden="false" customHeight="false" outlineLevel="0" collapsed="false">
      <c r="A22" s="12"/>
      <c r="B22" s="12"/>
      <c r="C22" s="12"/>
      <c r="D22" s="13"/>
      <c r="E22" s="12"/>
      <c r="F22" s="14"/>
      <c r="G22" s="14"/>
      <c r="H22" s="12"/>
      <c r="I22" s="15" t="str">
        <f aca="false">IF(D22="","",IF(E22="Mensal",D22,IF(E22="Anual",D22/12,0)))</f>
        <v/>
      </c>
      <c r="J22" s="12"/>
    </row>
    <row r="23" customFormat="false" ht="15" hidden="false" customHeight="false" outlineLevel="0" collapsed="false">
      <c r="A23" s="12"/>
      <c r="B23" s="12"/>
      <c r="C23" s="12"/>
      <c r="D23" s="13"/>
      <c r="E23" s="12"/>
      <c r="F23" s="14"/>
      <c r="G23" s="14"/>
      <c r="H23" s="12"/>
      <c r="I23" s="15" t="str">
        <f aca="false">IF(D23="","",IF(E23="Mensal",D23,IF(E23="Anual",D23/12,0)))</f>
        <v/>
      </c>
      <c r="J23" s="12"/>
    </row>
    <row r="24" customFormat="false" ht="15" hidden="false" customHeight="false" outlineLevel="0" collapsed="false">
      <c r="A24" s="12"/>
      <c r="B24" s="12"/>
      <c r="C24" s="12"/>
      <c r="D24" s="13"/>
      <c r="E24" s="12"/>
      <c r="F24" s="14"/>
      <c r="G24" s="14"/>
      <c r="H24" s="12"/>
      <c r="I24" s="15" t="str">
        <f aca="false">IF(D24="","",IF(E24="Mensal",D24,IF(E24="Anual",D24/12,0)))</f>
        <v/>
      </c>
      <c r="J24" s="12"/>
    </row>
    <row r="25" customFormat="false" ht="15" hidden="false" customHeight="false" outlineLevel="0" collapsed="false">
      <c r="A25" s="12"/>
      <c r="B25" s="12"/>
      <c r="C25" s="12"/>
      <c r="D25" s="13"/>
      <c r="E25" s="12"/>
      <c r="F25" s="14"/>
      <c r="G25" s="14"/>
      <c r="H25" s="12"/>
      <c r="I25" s="15" t="str">
        <f aca="false">IF(D25="","",IF(E25="Mensal",D25,IF(E25="Anual",D25/12,0)))</f>
        <v/>
      </c>
      <c r="J25" s="12"/>
    </row>
    <row r="26" customFormat="false" ht="15" hidden="false" customHeight="false" outlineLevel="0" collapsed="false">
      <c r="A26" s="12"/>
      <c r="B26" s="12"/>
      <c r="C26" s="12"/>
      <c r="D26" s="13"/>
      <c r="E26" s="12"/>
      <c r="F26" s="14"/>
      <c r="G26" s="14"/>
      <c r="H26" s="12"/>
      <c r="I26" s="15" t="str">
        <f aca="false">IF(D26="","",IF(E26="Mensal",D26,IF(E26="Anual",D26/12,0)))</f>
        <v/>
      </c>
      <c r="J26" s="12"/>
    </row>
    <row r="27" customFormat="false" ht="15" hidden="false" customHeight="false" outlineLevel="0" collapsed="false">
      <c r="A27" s="12"/>
      <c r="B27" s="12"/>
      <c r="C27" s="12"/>
      <c r="D27" s="13"/>
      <c r="E27" s="12"/>
      <c r="F27" s="14"/>
      <c r="G27" s="14"/>
      <c r="H27" s="12"/>
      <c r="I27" s="15" t="str">
        <f aca="false">IF(D27="","",IF(E27="Mensal",D27,IF(E27="Anual",D27/12,0)))</f>
        <v/>
      </c>
      <c r="J27" s="12"/>
    </row>
    <row r="28" customFormat="false" ht="15" hidden="false" customHeight="false" outlineLevel="0" collapsed="false">
      <c r="A28" s="12"/>
      <c r="B28" s="12"/>
      <c r="C28" s="12"/>
      <c r="D28" s="13"/>
      <c r="E28" s="12"/>
      <c r="F28" s="14"/>
      <c r="G28" s="14"/>
      <c r="H28" s="12"/>
      <c r="I28" s="15" t="str">
        <f aca="false">IF(D28="","",IF(E28="Mensal",D28,IF(E28="Anual",D28/12,0)))</f>
        <v/>
      </c>
      <c r="J28" s="12"/>
    </row>
    <row r="29" customFormat="false" ht="15" hidden="false" customHeight="false" outlineLevel="0" collapsed="false">
      <c r="A29" s="12"/>
      <c r="B29" s="12"/>
      <c r="C29" s="12"/>
      <c r="D29" s="13"/>
      <c r="E29" s="12"/>
      <c r="F29" s="14"/>
      <c r="G29" s="14"/>
      <c r="H29" s="12"/>
      <c r="I29" s="15" t="str">
        <f aca="false">IF(D29="","",IF(E29="Mensal",D29,IF(E29="Anual",D29/12,0)))</f>
        <v/>
      </c>
      <c r="J29" s="12"/>
    </row>
    <row r="30" customFormat="false" ht="15" hidden="false" customHeight="false" outlineLevel="0" collapsed="false">
      <c r="A30" s="12"/>
      <c r="B30" s="12"/>
      <c r="C30" s="12"/>
      <c r="D30" s="13"/>
      <c r="E30" s="12"/>
      <c r="F30" s="14"/>
      <c r="G30" s="14"/>
      <c r="H30" s="12"/>
      <c r="I30" s="15" t="str">
        <f aca="false">IF(D30="","",IF(E30="Mensal",D30,IF(E30="Anual",D30/12,0)))</f>
        <v/>
      </c>
      <c r="J30" s="12"/>
    </row>
    <row r="31" customFormat="false" ht="15" hidden="false" customHeight="false" outlineLevel="0" collapsed="false">
      <c r="A31" s="12"/>
      <c r="B31" s="12"/>
      <c r="C31" s="12"/>
      <c r="D31" s="13"/>
      <c r="E31" s="12"/>
      <c r="F31" s="14"/>
      <c r="G31" s="14"/>
      <c r="H31" s="12"/>
      <c r="I31" s="15" t="str">
        <f aca="false">IF(D31="","",IF(E31="Mensal",D31,IF(E31="Anual",D31/12,0)))</f>
        <v/>
      </c>
      <c r="J31" s="12"/>
    </row>
    <row r="32" customFormat="false" ht="15" hidden="false" customHeight="false" outlineLevel="0" collapsed="false">
      <c r="A32" s="12"/>
      <c r="B32" s="12"/>
      <c r="C32" s="12"/>
      <c r="D32" s="13"/>
      <c r="E32" s="12"/>
      <c r="F32" s="14"/>
      <c r="G32" s="14"/>
      <c r="H32" s="12"/>
      <c r="I32" s="15" t="str">
        <f aca="false">IF(D32="","",IF(E32="Mensal",D32,IF(E32="Anual",D32/12,0)))</f>
        <v/>
      </c>
      <c r="J32" s="12"/>
    </row>
    <row r="33" customFormat="false" ht="15" hidden="false" customHeight="false" outlineLevel="0" collapsed="false">
      <c r="A33" s="12"/>
      <c r="B33" s="12"/>
      <c r="C33" s="12"/>
      <c r="D33" s="13"/>
      <c r="E33" s="12"/>
      <c r="F33" s="14"/>
      <c r="G33" s="14"/>
      <c r="H33" s="12"/>
      <c r="I33" s="15" t="str">
        <f aca="false">IF(D33="","",IF(E33="Mensal",D33,IF(E33="Anual",D33/12,0)))</f>
        <v/>
      </c>
      <c r="J33" s="12"/>
    </row>
    <row r="34" customFormat="false" ht="15" hidden="false" customHeight="false" outlineLevel="0" collapsed="false">
      <c r="A34" s="12"/>
      <c r="B34" s="12"/>
      <c r="C34" s="12"/>
      <c r="D34" s="13"/>
      <c r="E34" s="12"/>
      <c r="F34" s="14"/>
      <c r="G34" s="14"/>
      <c r="H34" s="12"/>
      <c r="I34" s="15" t="str">
        <f aca="false">IF(D34="","",IF(E34="Mensal",D34,IF(E34="Anual",D34/12,0)))</f>
        <v/>
      </c>
      <c r="J34" s="12"/>
    </row>
    <row r="35" customFormat="false" ht="15" hidden="false" customHeight="false" outlineLevel="0" collapsed="false">
      <c r="A35" s="12"/>
      <c r="B35" s="12"/>
      <c r="C35" s="12"/>
      <c r="D35" s="13"/>
      <c r="E35" s="12"/>
      <c r="F35" s="14"/>
      <c r="G35" s="14"/>
      <c r="H35" s="12"/>
      <c r="I35" s="15" t="str">
        <f aca="false">IF(D35="","",IF(E35="Mensal",D35,IF(E35="Anual",D35/12,0)))</f>
        <v/>
      </c>
      <c r="J35" s="12"/>
    </row>
    <row r="36" customFormat="false" ht="15" hidden="false" customHeight="false" outlineLevel="0" collapsed="false">
      <c r="A36" s="12"/>
      <c r="B36" s="12"/>
      <c r="C36" s="12"/>
      <c r="D36" s="13"/>
      <c r="E36" s="12"/>
      <c r="F36" s="14"/>
      <c r="G36" s="14"/>
      <c r="H36" s="12"/>
      <c r="I36" s="15" t="str">
        <f aca="false">IF(D36="","",IF(E36="Mensal",D36,IF(E36="Anual",D36/12,0)))</f>
        <v/>
      </c>
      <c r="J36" s="12"/>
    </row>
    <row r="37" customFormat="false" ht="15" hidden="false" customHeight="false" outlineLevel="0" collapsed="false">
      <c r="A37" s="12"/>
      <c r="B37" s="12"/>
      <c r="C37" s="12"/>
      <c r="D37" s="13"/>
      <c r="E37" s="12"/>
      <c r="F37" s="14"/>
      <c r="G37" s="14"/>
      <c r="H37" s="12"/>
      <c r="I37" s="15" t="str">
        <f aca="false">IF(D37="","",IF(E37="Mensal",D37,IF(E37="Anual",D37/12,0)))</f>
        <v/>
      </c>
      <c r="J37" s="12"/>
    </row>
    <row r="38" customFormat="false" ht="15" hidden="false" customHeight="false" outlineLevel="0" collapsed="false">
      <c r="A38" s="12"/>
      <c r="B38" s="12"/>
      <c r="C38" s="12"/>
      <c r="D38" s="13"/>
      <c r="E38" s="12"/>
      <c r="F38" s="14"/>
      <c r="G38" s="14"/>
      <c r="H38" s="12"/>
      <c r="I38" s="15" t="str">
        <f aca="false">IF(D38="","",IF(E38="Mensal",D38,IF(E38="Anual",D38/12,0)))</f>
        <v/>
      </c>
      <c r="J38" s="12"/>
    </row>
    <row r="39" customFormat="false" ht="15" hidden="false" customHeight="false" outlineLevel="0" collapsed="false">
      <c r="A39" s="12"/>
      <c r="B39" s="12"/>
      <c r="C39" s="12"/>
      <c r="D39" s="13"/>
      <c r="E39" s="12"/>
      <c r="F39" s="14"/>
      <c r="G39" s="14"/>
      <c r="H39" s="12"/>
      <c r="I39" s="15" t="str">
        <f aca="false">IF(D39="","",IF(E39="Mensal",D39,IF(E39="Anual",D39/12,0)))</f>
        <v/>
      </c>
      <c r="J39" s="12"/>
    </row>
    <row r="40" customFormat="false" ht="15" hidden="false" customHeight="false" outlineLevel="0" collapsed="false">
      <c r="A40" s="12"/>
      <c r="B40" s="12"/>
      <c r="C40" s="12"/>
      <c r="D40" s="13"/>
      <c r="E40" s="12"/>
      <c r="F40" s="14"/>
      <c r="G40" s="14"/>
      <c r="H40" s="12"/>
      <c r="I40" s="15" t="str">
        <f aca="false">IF(D40="","",IF(E40="Mensal",D40,IF(E40="Anual",D40/12,0)))</f>
        <v/>
      </c>
      <c r="J40" s="12"/>
    </row>
    <row r="41" customFormat="false" ht="15" hidden="false" customHeight="false" outlineLevel="0" collapsed="false">
      <c r="A41" s="12"/>
      <c r="B41" s="12"/>
      <c r="C41" s="12"/>
      <c r="D41" s="13"/>
      <c r="E41" s="12"/>
      <c r="F41" s="14"/>
      <c r="G41" s="14"/>
      <c r="H41" s="12"/>
      <c r="I41" s="15" t="str">
        <f aca="false">IF(D41="","",IF(E41="Mensal",D41,IF(E41="Anual",D41/12,0)))</f>
        <v/>
      </c>
      <c r="J41" s="12"/>
    </row>
    <row r="42" customFormat="false" ht="15" hidden="false" customHeight="false" outlineLevel="0" collapsed="false">
      <c r="A42" s="12"/>
      <c r="B42" s="12"/>
      <c r="C42" s="12"/>
      <c r="D42" s="13"/>
      <c r="E42" s="12"/>
      <c r="F42" s="14"/>
      <c r="G42" s="14"/>
      <c r="H42" s="12"/>
      <c r="I42" s="15" t="str">
        <f aca="false">IF(D42="","",IF(E42="Mensal",D42,IF(E42="Anual",D42/12,0)))</f>
        <v/>
      </c>
      <c r="J42" s="12"/>
    </row>
    <row r="43" customFormat="false" ht="15" hidden="false" customHeight="false" outlineLevel="0" collapsed="false">
      <c r="A43" s="12"/>
      <c r="B43" s="12"/>
      <c r="C43" s="12"/>
      <c r="D43" s="13"/>
      <c r="E43" s="12"/>
      <c r="F43" s="14"/>
      <c r="G43" s="14"/>
      <c r="H43" s="12"/>
      <c r="I43" s="15" t="str">
        <f aca="false">IF(D43="","",IF(E43="Mensal",D43,IF(E43="Anual",D43/12,0)))</f>
        <v/>
      </c>
      <c r="J43" s="12"/>
    </row>
    <row r="44" customFormat="false" ht="15" hidden="false" customHeight="false" outlineLevel="0" collapsed="false">
      <c r="A44" s="12"/>
      <c r="B44" s="12"/>
      <c r="C44" s="12"/>
      <c r="D44" s="13"/>
      <c r="E44" s="12"/>
      <c r="F44" s="14"/>
      <c r="G44" s="14"/>
      <c r="H44" s="12"/>
      <c r="I44" s="15" t="str">
        <f aca="false">IF(D44="","",IF(E44="Mensal",D44,IF(E44="Anual",D44/12,0)))</f>
        <v/>
      </c>
      <c r="J44" s="12"/>
    </row>
    <row r="45" customFormat="false" ht="15" hidden="false" customHeight="false" outlineLevel="0" collapsed="false">
      <c r="A45" s="12"/>
      <c r="B45" s="12"/>
      <c r="C45" s="12"/>
      <c r="D45" s="13"/>
      <c r="E45" s="12"/>
      <c r="F45" s="14"/>
      <c r="G45" s="14"/>
      <c r="H45" s="12"/>
      <c r="I45" s="15" t="str">
        <f aca="false">IF(D45="","",IF(E45="Mensal",D45,IF(E45="Anual",D45/12,0)))</f>
        <v/>
      </c>
      <c r="J45" s="12"/>
    </row>
    <row r="46" customFormat="false" ht="15" hidden="false" customHeight="false" outlineLevel="0" collapsed="false">
      <c r="A46" s="12"/>
      <c r="B46" s="12"/>
      <c r="C46" s="12"/>
      <c r="D46" s="13"/>
      <c r="E46" s="12"/>
      <c r="F46" s="14"/>
      <c r="G46" s="14"/>
      <c r="H46" s="12"/>
      <c r="I46" s="15" t="str">
        <f aca="false">IF(D46="","",IF(E46="Mensal",D46,IF(E46="Anual",D46/12,0)))</f>
        <v/>
      </c>
      <c r="J46" s="12"/>
    </row>
    <row r="47" customFormat="false" ht="15" hidden="false" customHeight="false" outlineLevel="0" collapsed="false">
      <c r="A47" s="12"/>
      <c r="B47" s="12"/>
      <c r="C47" s="12"/>
      <c r="D47" s="13"/>
      <c r="E47" s="12"/>
      <c r="F47" s="14"/>
      <c r="G47" s="14"/>
      <c r="H47" s="12"/>
      <c r="I47" s="15" t="str">
        <f aca="false">IF(D47="","",IF(E47="Mensal",D47,IF(E47="Anual",D47/12,0)))</f>
        <v/>
      </c>
      <c r="J47" s="12"/>
    </row>
    <row r="48" customFormat="false" ht="15" hidden="false" customHeight="false" outlineLevel="0" collapsed="false">
      <c r="A48" s="12"/>
      <c r="B48" s="12"/>
      <c r="C48" s="12"/>
      <c r="D48" s="13"/>
      <c r="E48" s="12"/>
      <c r="F48" s="14"/>
      <c r="G48" s="14"/>
      <c r="H48" s="12"/>
      <c r="I48" s="15" t="str">
        <f aca="false">IF(D48="","",IF(E48="Mensal",D48,IF(E48="Anual",D48/12,0)))</f>
        <v/>
      </c>
      <c r="J48" s="12"/>
    </row>
    <row r="49" customFormat="false" ht="15" hidden="false" customHeight="false" outlineLevel="0" collapsed="false">
      <c r="A49" s="12"/>
      <c r="B49" s="12"/>
      <c r="C49" s="12"/>
      <c r="D49" s="13"/>
      <c r="E49" s="12"/>
      <c r="F49" s="14"/>
      <c r="G49" s="14"/>
      <c r="H49" s="12"/>
      <c r="I49" s="15" t="str">
        <f aca="false">IF(D49="","",IF(E49="Mensal",D49,IF(E49="Anual",D49/12,0)))</f>
        <v/>
      </c>
      <c r="J49" s="12"/>
    </row>
    <row r="50" customFormat="false" ht="15" hidden="false" customHeight="false" outlineLevel="0" collapsed="false">
      <c r="A50" s="12"/>
      <c r="B50" s="12"/>
      <c r="C50" s="12"/>
      <c r="D50" s="13"/>
      <c r="E50" s="12"/>
      <c r="F50" s="14"/>
      <c r="G50" s="14"/>
      <c r="H50" s="12"/>
      <c r="I50" s="15" t="str">
        <f aca="false">IF(D50="","",IF(E50="Mensal",D50,IF(E50="Anual",D50/12,0)))</f>
        <v/>
      </c>
      <c r="J50" s="12"/>
    </row>
    <row r="51" customFormat="false" ht="15" hidden="false" customHeight="false" outlineLevel="0" collapsed="false">
      <c r="A51" s="12"/>
      <c r="B51" s="12"/>
      <c r="C51" s="12"/>
      <c r="D51" s="13"/>
      <c r="E51" s="12"/>
      <c r="F51" s="14"/>
      <c r="G51" s="14"/>
      <c r="H51" s="12"/>
      <c r="I51" s="15" t="str">
        <f aca="false">IF(D51="","",IF(E51="Mensal",D51,IF(E51="Anual",D51/12,0)))</f>
        <v/>
      </c>
      <c r="J51" s="12"/>
    </row>
    <row r="52" customFormat="false" ht="15" hidden="false" customHeight="false" outlineLevel="0" collapsed="false">
      <c r="A52" s="12"/>
      <c r="B52" s="12"/>
      <c r="C52" s="12"/>
      <c r="D52" s="13"/>
      <c r="E52" s="12"/>
      <c r="F52" s="14"/>
      <c r="G52" s="14"/>
      <c r="H52" s="12"/>
      <c r="I52" s="15" t="str">
        <f aca="false">IF(D52="","",IF(E52="Mensal",D52,IF(E52="Anual",D52/12,0)))</f>
        <v/>
      </c>
      <c r="J52" s="12"/>
    </row>
    <row r="53" customFormat="false" ht="15" hidden="false" customHeight="false" outlineLevel="0" collapsed="false">
      <c r="A53" s="12"/>
      <c r="B53" s="12"/>
      <c r="C53" s="12"/>
      <c r="D53" s="13"/>
      <c r="E53" s="12"/>
      <c r="F53" s="14"/>
      <c r="G53" s="14"/>
      <c r="H53" s="12"/>
      <c r="I53" s="15" t="str">
        <f aca="false">IF(D53="","",IF(E53="Mensal",D53,IF(E53="Anual",D53/12,0)))</f>
        <v/>
      </c>
      <c r="J53" s="12"/>
    </row>
    <row r="54" customFormat="false" ht="15" hidden="false" customHeight="false" outlineLevel="0" collapsed="false">
      <c r="A54" s="12"/>
      <c r="B54" s="12"/>
      <c r="C54" s="12"/>
      <c r="D54" s="13"/>
      <c r="E54" s="12"/>
      <c r="F54" s="14"/>
      <c r="G54" s="14"/>
      <c r="H54" s="12"/>
      <c r="I54" s="15" t="str">
        <f aca="false">IF(D54="","",IF(E54="Mensal",D54,IF(E54="Anual",D54/12,0)))</f>
        <v/>
      </c>
      <c r="J54" s="12"/>
    </row>
    <row r="55" customFormat="false" ht="15" hidden="false" customHeight="false" outlineLevel="0" collapsed="false">
      <c r="A55" s="12"/>
      <c r="B55" s="12"/>
      <c r="C55" s="12"/>
      <c r="D55" s="13"/>
      <c r="E55" s="12"/>
      <c r="F55" s="14"/>
      <c r="G55" s="14"/>
      <c r="H55" s="12"/>
      <c r="I55" s="15" t="str">
        <f aca="false">IF(D55="","",IF(E55="Mensal",D55,IF(E55="Anual",D55/12,0)))</f>
        <v/>
      </c>
      <c r="J55" s="12"/>
    </row>
    <row r="56" customFormat="false" ht="15" hidden="false" customHeight="false" outlineLevel="0" collapsed="false">
      <c r="A56" s="12"/>
      <c r="B56" s="12"/>
      <c r="C56" s="12"/>
      <c r="D56" s="13"/>
      <c r="E56" s="12"/>
      <c r="F56" s="14"/>
      <c r="G56" s="14"/>
      <c r="H56" s="12"/>
      <c r="I56" s="15" t="str">
        <f aca="false">IF(D56="","",IF(E56="Mensal",D56,IF(E56="Anual",D56/12,0)))</f>
        <v/>
      </c>
      <c r="J56" s="12"/>
    </row>
    <row r="57" customFormat="false" ht="15" hidden="false" customHeight="false" outlineLevel="0" collapsed="false">
      <c r="A57" s="12"/>
      <c r="B57" s="12"/>
      <c r="C57" s="12"/>
      <c r="D57" s="13"/>
      <c r="E57" s="12"/>
      <c r="F57" s="14"/>
      <c r="G57" s="14"/>
      <c r="H57" s="12"/>
      <c r="I57" s="15" t="str">
        <f aca="false">IF(D57="","",IF(E57="Mensal",D57,IF(E57="Anual",D57/12,0)))</f>
        <v/>
      </c>
      <c r="J57" s="12"/>
    </row>
    <row r="58" customFormat="false" ht="15" hidden="false" customHeight="false" outlineLevel="0" collapsed="false">
      <c r="A58" s="12"/>
      <c r="B58" s="12"/>
      <c r="C58" s="12"/>
      <c r="D58" s="13"/>
      <c r="E58" s="12"/>
      <c r="F58" s="14"/>
      <c r="G58" s="14"/>
      <c r="H58" s="12"/>
      <c r="I58" s="15" t="str">
        <f aca="false">IF(D58="","",IF(E58="Mensal",D58,IF(E58="Anual",D58/12,0)))</f>
        <v/>
      </c>
      <c r="J58" s="12"/>
    </row>
    <row r="59" customFormat="false" ht="15" hidden="false" customHeight="false" outlineLevel="0" collapsed="false">
      <c r="A59" s="12"/>
      <c r="B59" s="12"/>
      <c r="C59" s="12"/>
      <c r="D59" s="13"/>
      <c r="E59" s="12"/>
      <c r="F59" s="14"/>
      <c r="G59" s="14"/>
      <c r="H59" s="12"/>
      <c r="I59" s="15" t="str">
        <f aca="false">IF(D59="","",IF(E59="Mensal",D59,IF(E59="Anual",D59/12,0)))</f>
        <v/>
      </c>
      <c r="J59" s="12"/>
    </row>
    <row r="60" customFormat="false" ht="15" hidden="false" customHeight="false" outlineLevel="0" collapsed="false">
      <c r="A60" s="12"/>
      <c r="B60" s="12"/>
      <c r="C60" s="12"/>
      <c r="D60" s="13"/>
      <c r="E60" s="12"/>
      <c r="F60" s="14"/>
      <c r="G60" s="14"/>
      <c r="H60" s="12"/>
      <c r="I60" s="15" t="str">
        <f aca="false">IF(D60="","",IF(E60="Mensal",D60,IF(E60="Anual",D60/12,0)))</f>
        <v/>
      </c>
      <c r="J60" s="12"/>
    </row>
    <row r="61" customFormat="false" ht="15" hidden="false" customHeight="false" outlineLevel="0" collapsed="false">
      <c r="A61" s="12"/>
      <c r="B61" s="12"/>
      <c r="C61" s="12"/>
      <c r="D61" s="13"/>
      <c r="E61" s="12"/>
      <c r="F61" s="14"/>
      <c r="G61" s="14"/>
      <c r="H61" s="12"/>
      <c r="I61" s="15" t="str">
        <f aca="false">IF(D61="","",IF(E61="Mensal",D61,IF(E61="Anual",D61/12,0)))</f>
        <v/>
      </c>
      <c r="J61" s="12"/>
    </row>
  </sheetData>
  <dataValidations count="4">
    <dataValidation allowBlank="true" errorStyle="stop" operator="between" showDropDown="false" showErrorMessage="false" showInputMessage="false" sqref="C2:C61" type="list">
      <formula1>"Fixa,Variável"</formula1>
      <formula2>0</formula2>
    </dataValidation>
    <dataValidation allowBlank="true" errorStyle="stop" operator="between" showDropDown="false" showErrorMessage="false" showInputMessage="false" sqref="E2:E61" type="list">
      <formula1>"Mensal,Anual,Única"</formula1>
      <formula2>0</formula2>
    </dataValidation>
    <dataValidation allowBlank="true" errorStyle="stop" operator="between" showDropDown="false" showErrorMessage="false" showInputMessage="false" sqref="H2:H61" type="list">
      <formula1>"Sim,Não"</formula1>
      <formula2>0</formula2>
    </dataValidation>
    <dataValidation allowBlank="true" errorStyle="stop" operator="between" showDropDown="false" showErrorMessage="false" showInputMessage="false" sqref="J2:J61" type="list">
      <formula1>Cartões!$A$2:$A$31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15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6" t="s">
        <v>35</v>
      </c>
      <c r="B1" s="16" t="s">
        <v>36</v>
      </c>
      <c r="C1" s="16" t="s">
        <v>53</v>
      </c>
      <c r="D1" s="16" t="s">
        <v>37</v>
      </c>
      <c r="E1" s="16" t="s">
        <v>11</v>
      </c>
      <c r="F1" s="16" t="s">
        <v>38</v>
      </c>
      <c r="G1" s="16" t="s">
        <v>39</v>
      </c>
      <c r="H1" s="16" t="s">
        <v>13</v>
      </c>
      <c r="I1" s="16" t="s">
        <v>40</v>
      </c>
      <c r="J1" s="16" t="s">
        <v>54</v>
      </c>
    </row>
    <row r="2" customFormat="false" ht="15" hidden="false" customHeight="false" outlineLevel="0" collapsed="false">
      <c r="A2" s="12" t="s">
        <v>55</v>
      </c>
      <c r="B2" s="12" t="s">
        <v>56</v>
      </c>
      <c r="C2" s="12" t="s">
        <v>57</v>
      </c>
      <c r="D2" s="13" t="n">
        <v>55</v>
      </c>
      <c r="E2" s="12" t="s">
        <v>43</v>
      </c>
      <c r="F2" s="14"/>
      <c r="G2" s="14"/>
      <c r="H2" s="12" t="s">
        <v>47</v>
      </c>
      <c r="I2" s="15" t="n">
        <f aca="false">IF(D2="","",IF(E2="Mensal",D2,IF(E2="Anual",D2/12,0)))</f>
        <v>55</v>
      </c>
      <c r="J2" s="12"/>
    </row>
    <row r="3" customFormat="false" ht="15" hidden="false" customHeight="false" outlineLevel="0" collapsed="false">
      <c r="A3" s="12" t="s">
        <v>59</v>
      </c>
      <c r="B3" s="12" t="s">
        <v>60</v>
      </c>
      <c r="C3" s="12" t="s">
        <v>57</v>
      </c>
      <c r="D3" s="13" t="n">
        <v>580</v>
      </c>
      <c r="E3" s="12" t="s">
        <v>43</v>
      </c>
      <c r="F3" s="14"/>
      <c r="G3" s="14"/>
      <c r="H3" s="12" t="s">
        <v>44</v>
      </c>
      <c r="I3" s="15" t="n">
        <f aca="false">IF(D3="","",IF(E3="Mensal",D3,IF(E3="Anual",D3/12,0)))</f>
        <v>580</v>
      </c>
      <c r="J3" s="12"/>
    </row>
    <row r="4" customFormat="false" ht="15" hidden="false" customHeight="false" outlineLevel="0" collapsed="false">
      <c r="A4" s="12" t="s">
        <v>69</v>
      </c>
      <c r="B4" s="12" t="s">
        <v>60</v>
      </c>
      <c r="C4" s="12" t="s">
        <v>57</v>
      </c>
      <c r="D4" s="13" t="n">
        <v>280</v>
      </c>
      <c r="E4" s="12" t="s">
        <v>43</v>
      </c>
      <c r="F4" s="14"/>
      <c r="G4" s="14"/>
      <c r="H4" s="12" t="s">
        <v>44</v>
      </c>
      <c r="I4" s="15" t="n">
        <f aca="false">IF(D4="","",IF(E4="Mensal",D4,IF(E4="Anual",D4/12,0)))</f>
        <v>280</v>
      </c>
      <c r="J4" s="12" t="s">
        <v>70</v>
      </c>
    </row>
    <row r="5" customFormat="false" ht="15" hidden="false" customHeight="false" outlineLevel="0" collapsed="false">
      <c r="A5" s="12" t="s">
        <v>71</v>
      </c>
      <c r="B5" s="12" t="s">
        <v>63</v>
      </c>
      <c r="C5" s="12" t="s">
        <v>64</v>
      </c>
      <c r="D5" s="13" t="n">
        <v>300</v>
      </c>
      <c r="E5" s="12" t="s">
        <v>43</v>
      </c>
      <c r="F5" s="14"/>
      <c r="G5" s="14"/>
      <c r="H5" s="12" t="s">
        <v>44</v>
      </c>
      <c r="I5" s="15" t="n">
        <f aca="false">IF(D5="","",IF(E5="Mensal",D5,IF(E5="Anual",D5/12,0)))</f>
        <v>300</v>
      </c>
      <c r="J5" s="12"/>
    </row>
    <row r="6" customFormat="false" ht="15" hidden="false" customHeight="false" outlineLevel="0" collapsed="false">
      <c r="A6" s="12" t="s">
        <v>72</v>
      </c>
      <c r="B6" s="12" t="s">
        <v>73</v>
      </c>
      <c r="C6" s="12" t="s">
        <v>64</v>
      </c>
      <c r="D6" s="13" t="n">
        <v>250</v>
      </c>
      <c r="E6" s="12" t="s">
        <v>43</v>
      </c>
      <c r="F6" s="14"/>
      <c r="G6" s="14"/>
      <c r="H6" s="12" t="s">
        <v>44</v>
      </c>
      <c r="I6" s="15" t="n">
        <f aca="false">IF(D6="","",IF(E6="Mensal",D6,IF(E6="Anual",D6/12,0)))</f>
        <v>250</v>
      </c>
      <c r="J6" s="12" t="s">
        <v>70</v>
      </c>
    </row>
    <row r="7" customFormat="false" ht="15" hidden="false" customHeight="false" outlineLevel="0" collapsed="false">
      <c r="A7" s="12" t="s">
        <v>74</v>
      </c>
      <c r="B7" s="12" t="s">
        <v>75</v>
      </c>
      <c r="C7" s="12" t="s">
        <v>64</v>
      </c>
      <c r="D7" s="13" t="n">
        <v>200</v>
      </c>
      <c r="E7" s="12" t="s">
        <v>43</v>
      </c>
      <c r="F7" s="14"/>
      <c r="G7" s="14"/>
      <c r="H7" s="12" t="s">
        <v>44</v>
      </c>
      <c r="I7" s="15" t="n">
        <f aca="false">IF(D7="","",IF(E7="Mensal",D7,IF(E7="Anual",D7/12,0)))</f>
        <v>200</v>
      </c>
      <c r="J7" s="12" t="s">
        <v>70</v>
      </c>
    </row>
    <row r="8" customFormat="false" ht="15" hidden="false" customHeight="false" outlineLevel="0" collapsed="false">
      <c r="A8" s="12"/>
      <c r="B8" s="12"/>
      <c r="C8" s="12"/>
      <c r="D8" s="13"/>
      <c r="E8" s="12"/>
      <c r="F8" s="14"/>
      <c r="G8" s="14"/>
      <c r="H8" s="12"/>
      <c r="I8" s="15" t="str">
        <f aca="false">IF(D8="","",IF(E8="Mensal",D8,IF(E8="Anual",D8/12,0)))</f>
        <v/>
      </c>
      <c r="J8" s="12"/>
    </row>
    <row r="9" customFormat="false" ht="15" hidden="false" customHeight="false" outlineLevel="0" collapsed="false">
      <c r="A9" s="12"/>
      <c r="B9" s="12"/>
      <c r="C9" s="12"/>
      <c r="D9" s="13"/>
      <c r="E9" s="12"/>
      <c r="F9" s="14"/>
      <c r="G9" s="14"/>
      <c r="H9" s="12"/>
      <c r="I9" s="15" t="str">
        <f aca="false">IF(D9="","",IF(E9="Mensal",D9,IF(E9="Anual",D9/12,0)))</f>
        <v/>
      </c>
      <c r="J9" s="12"/>
    </row>
    <row r="10" customFormat="false" ht="15" hidden="false" customHeight="false" outlineLevel="0" collapsed="false">
      <c r="A10" s="12"/>
      <c r="B10" s="12"/>
      <c r="C10" s="12"/>
      <c r="D10" s="13"/>
      <c r="E10" s="12"/>
      <c r="F10" s="14"/>
      <c r="G10" s="14"/>
      <c r="H10" s="12"/>
      <c r="I10" s="15" t="str">
        <f aca="false">IF(D10="","",IF(E10="Mensal",D10,IF(E10="Anual",D10/12,0)))</f>
        <v/>
      </c>
      <c r="J10" s="12"/>
    </row>
    <row r="11" customFormat="false" ht="15" hidden="false" customHeight="false" outlineLevel="0" collapsed="false">
      <c r="A11" s="12"/>
      <c r="B11" s="12"/>
      <c r="C11" s="12"/>
      <c r="D11" s="13"/>
      <c r="E11" s="12"/>
      <c r="F11" s="14"/>
      <c r="G11" s="14"/>
      <c r="H11" s="12"/>
      <c r="I11" s="15" t="str">
        <f aca="false">IF(D11="","",IF(E11="Mensal",D11,IF(E11="Anual",D11/12,0)))</f>
        <v/>
      </c>
      <c r="J11" s="12"/>
    </row>
    <row r="12" customFormat="false" ht="15" hidden="false" customHeight="false" outlineLevel="0" collapsed="false">
      <c r="A12" s="12"/>
      <c r="B12" s="12"/>
      <c r="C12" s="12"/>
      <c r="D12" s="13"/>
      <c r="E12" s="12"/>
      <c r="F12" s="14"/>
      <c r="G12" s="14"/>
      <c r="H12" s="12"/>
      <c r="I12" s="15" t="str">
        <f aca="false">IF(D12="","",IF(E12="Mensal",D12,IF(E12="Anual",D12/12,0)))</f>
        <v/>
      </c>
      <c r="J12" s="12"/>
    </row>
    <row r="13" customFormat="false" ht="15" hidden="false" customHeight="false" outlineLevel="0" collapsed="false">
      <c r="A13" s="12"/>
      <c r="B13" s="12"/>
      <c r="C13" s="12"/>
      <c r="D13" s="13"/>
      <c r="E13" s="12"/>
      <c r="F13" s="14"/>
      <c r="G13" s="14"/>
      <c r="H13" s="12"/>
      <c r="I13" s="15" t="str">
        <f aca="false">IF(D13="","",IF(E13="Mensal",D13,IF(E13="Anual",D13/12,0)))</f>
        <v/>
      </c>
      <c r="J13" s="12"/>
    </row>
    <row r="14" customFormat="false" ht="15" hidden="false" customHeight="false" outlineLevel="0" collapsed="false">
      <c r="A14" s="12"/>
      <c r="B14" s="12"/>
      <c r="C14" s="12"/>
      <c r="D14" s="13"/>
      <c r="E14" s="12"/>
      <c r="F14" s="14"/>
      <c r="G14" s="14"/>
      <c r="H14" s="12"/>
      <c r="I14" s="15" t="str">
        <f aca="false">IF(D14="","",IF(E14="Mensal",D14,IF(E14="Anual",D14/12,0)))</f>
        <v/>
      </c>
      <c r="J14" s="12"/>
    </row>
    <row r="15" customFormat="false" ht="15" hidden="false" customHeight="false" outlineLevel="0" collapsed="false">
      <c r="A15" s="12"/>
      <c r="B15" s="12"/>
      <c r="C15" s="12"/>
      <c r="D15" s="13"/>
      <c r="E15" s="12"/>
      <c r="F15" s="14"/>
      <c r="G15" s="14"/>
      <c r="H15" s="12"/>
      <c r="I15" s="15" t="str">
        <f aca="false">IF(D15="","",IF(E15="Mensal",D15,IF(E15="Anual",D15/12,0)))</f>
        <v/>
      </c>
      <c r="J15" s="12"/>
    </row>
    <row r="16" customFormat="false" ht="15" hidden="false" customHeight="false" outlineLevel="0" collapsed="false">
      <c r="A16" s="12"/>
      <c r="B16" s="12"/>
      <c r="C16" s="12"/>
      <c r="D16" s="13"/>
      <c r="E16" s="12"/>
      <c r="F16" s="14"/>
      <c r="G16" s="14"/>
      <c r="H16" s="12"/>
      <c r="I16" s="15" t="str">
        <f aca="false">IF(D16="","",IF(E16="Mensal",D16,IF(E16="Anual",D16/12,0)))</f>
        <v/>
      </c>
      <c r="J16" s="12"/>
    </row>
    <row r="17" customFormat="false" ht="15" hidden="false" customHeight="false" outlineLevel="0" collapsed="false">
      <c r="A17" s="12"/>
      <c r="B17" s="12"/>
      <c r="C17" s="12"/>
      <c r="D17" s="13"/>
      <c r="E17" s="12"/>
      <c r="F17" s="14"/>
      <c r="G17" s="14"/>
      <c r="H17" s="12"/>
      <c r="I17" s="15" t="str">
        <f aca="false">IF(D17="","",IF(E17="Mensal",D17,IF(E17="Anual",D17/12,0)))</f>
        <v/>
      </c>
      <c r="J17" s="12"/>
    </row>
    <row r="18" customFormat="false" ht="15" hidden="false" customHeight="false" outlineLevel="0" collapsed="false">
      <c r="A18" s="12"/>
      <c r="B18" s="12"/>
      <c r="C18" s="12"/>
      <c r="D18" s="13"/>
      <c r="E18" s="12"/>
      <c r="F18" s="14"/>
      <c r="G18" s="14"/>
      <c r="H18" s="12"/>
      <c r="I18" s="15" t="str">
        <f aca="false">IF(D18="","",IF(E18="Mensal",D18,IF(E18="Anual",D18/12,0)))</f>
        <v/>
      </c>
      <c r="J18" s="12"/>
    </row>
    <row r="19" customFormat="false" ht="15" hidden="false" customHeight="false" outlineLevel="0" collapsed="false">
      <c r="A19" s="12"/>
      <c r="B19" s="12"/>
      <c r="C19" s="12"/>
      <c r="D19" s="13"/>
      <c r="E19" s="12"/>
      <c r="F19" s="14"/>
      <c r="G19" s="14"/>
      <c r="H19" s="12"/>
      <c r="I19" s="15" t="str">
        <f aca="false">IF(D19="","",IF(E19="Mensal",D19,IF(E19="Anual",D19/12,0)))</f>
        <v/>
      </c>
      <c r="J19" s="12"/>
    </row>
    <row r="20" customFormat="false" ht="15" hidden="false" customHeight="false" outlineLevel="0" collapsed="false">
      <c r="A20" s="12"/>
      <c r="B20" s="12"/>
      <c r="C20" s="12"/>
      <c r="D20" s="13"/>
      <c r="E20" s="12"/>
      <c r="F20" s="14"/>
      <c r="G20" s="14"/>
      <c r="H20" s="12"/>
      <c r="I20" s="15" t="str">
        <f aca="false">IF(D20="","",IF(E20="Mensal",D20,IF(E20="Anual",D20/12,0)))</f>
        <v/>
      </c>
      <c r="J20" s="12"/>
    </row>
    <row r="21" customFormat="false" ht="15" hidden="false" customHeight="false" outlineLevel="0" collapsed="false">
      <c r="A21" s="12"/>
      <c r="B21" s="12"/>
      <c r="C21" s="12"/>
      <c r="D21" s="13"/>
      <c r="E21" s="12"/>
      <c r="F21" s="14"/>
      <c r="G21" s="14"/>
      <c r="H21" s="12"/>
      <c r="I21" s="15" t="str">
        <f aca="false">IF(D21="","",IF(E21="Mensal",D21,IF(E21="Anual",D21/12,0)))</f>
        <v/>
      </c>
      <c r="J21" s="12"/>
    </row>
    <row r="22" customFormat="false" ht="15" hidden="false" customHeight="false" outlineLevel="0" collapsed="false">
      <c r="A22" s="12"/>
      <c r="B22" s="12"/>
      <c r="C22" s="12"/>
      <c r="D22" s="13"/>
      <c r="E22" s="12"/>
      <c r="F22" s="14"/>
      <c r="G22" s="14"/>
      <c r="H22" s="12"/>
      <c r="I22" s="15" t="str">
        <f aca="false">IF(D22="","",IF(E22="Mensal",D22,IF(E22="Anual",D22/12,0)))</f>
        <v/>
      </c>
      <c r="J22" s="12"/>
    </row>
    <row r="23" customFormat="false" ht="15" hidden="false" customHeight="false" outlineLevel="0" collapsed="false">
      <c r="A23" s="12"/>
      <c r="B23" s="12"/>
      <c r="C23" s="12"/>
      <c r="D23" s="13"/>
      <c r="E23" s="12"/>
      <c r="F23" s="14"/>
      <c r="G23" s="14"/>
      <c r="H23" s="12"/>
      <c r="I23" s="15" t="str">
        <f aca="false">IF(D23="","",IF(E23="Mensal",D23,IF(E23="Anual",D23/12,0)))</f>
        <v/>
      </c>
      <c r="J23" s="12"/>
    </row>
    <row r="24" customFormat="false" ht="15" hidden="false" customHeight="false" outlineLevel="0" collapsed="false">
      <c r="A24" s="12"/>
      <c r="B24" s="12"/>
      <c r="C24" s="12"/>
      <c r="D24" s="13"/>
      <c r="E24" s="12"/>
      <c r="F24" s="14"/>
      <c r="G24" s="14"/>
      <c r="H24" s="12"/>
      <c r="I24" s="15" t="str">
        <f aca="false">IF(D24="","",IF(E24="Mensal",D24,IF(E24="Anual",D24/12,0)))</f>
        <v/>
      </c>
      <c r="J24" s="12"/>
    </row>
    <row r="25" customFormat="false" ht="15" hidden="false" customHeight="false" outlineLevel="0" collapsed="false">
      <c r="A25" s="12"/>
      <c r="B25" s="12"/>
      <c r="C25" s="12"/>
      <c r="D25" s="13"/>
      <c r="E25" s="12"/>
      <c r="F25" s="14"/>
      <c r="G25" s="14"/>
      <c r="H25" s="12"/>
      <c r="I25" s="15" t="str">
        <f aca="false">IF(D25="","",IF(E25="Mensal",D25,IF(E25="Anual",D25/12,0)))</f>
        <v/>
      </c>
      <c r="J25" s="12"/>
    </row>
    <row r="26" customFormat="false" ht="15" hidden="false" customHeight="false" outlineLevel="0" collapsed="false">
      <c r="A26" s="12"/>
      <c r="B26" s="12"/>
      <c r="C26" s="12"/>
      <c r="D26" s="13"/>
      <c r="E26" s="12"/>
      <c r="F26" s="14"/>
      <c r="G26" s="14"/>
      <c r="H26" s="12"/>
      <c r="I26" s="15" t="str">
        <f aca="false">IF(D26="","",IF(E26="Mensal",D26,IF(E26="Anual",D26/12,0)))</f>
        <v/>
      </c>
      <c r="J26" s="12"/>
    </row>
    <row r="27" customFormat="false" ht="15" hidden="false" customHeight="false" outlineLevel="0" collapsed="false">
      <c r="A27" s="12"/>
      <c r="B27" s="12"/>
      <c r="C27" s="12"/>
      <c r="D27" s="13"/>
      <c r="E27" s="12"/>
      <c r="F27" s="14"/>
      <c r="G27" s="14"/>
      <c r="H27" s="12"/>
      <c r="I27" s="15" t="str">
        <f aca="false">IF(D27="","",IF(E27="Mensal",D27,IF(E27="Anual",D27/12,0)))</f>
        <v/>
      </c>
      <c r="J27" s="12"/>
    </row>
    <row r="28" customFormat="false" ht="15" hidden="false" customHeight="false" outlineLevel="0" collapsed="false">
      <c r="A28" s="12"/>
      <c r="B28" s="12"/>
      <c r="C28" s="12"/>
      <c r="D28" s="13"/>
      <c r="E28" s="12"/>
      <c r="F28" s="14"/>
      <c r="G28" s="14"/>
      <c r="H28" s="12"/>
      <c r="I28" s="15" t="str">
        <f aca="false">IF(D28="","",IF(E28="Mensal",D28,IF(E28="Anual",D28/12,0)))</f>
        <v/>
      </c>
      <c r="J28" s="12"/>
    </row>
    <row r="29" customFormat="false" ht="15" hidden="false" customHeight="false" outlineLevel="0" collapsed="false">
      <c r="A29" s="12"/>
      <c r="B29" s="12"/>
      <c r="C29" s="12"/>
      <c r="D29" s="13"/>
      <c r="E29" s="12"/>
      <c r="F29" s="14"/>
      <c r="G29" s="14"/>
      <c r="H29" s="12"/>
      <c r="I29" s="15" t="str">
        <f aca="false">IF(D29="","",IF(E29="Mensal",D29,IF(E29="Anual",D29/12,0)))</f>
        <v/>
      </c>
      <c r="J29" s="12"/>
    </row>
    <row r="30" customFormat="false" ht="15" hidden="false" customHeight="false" outlineLevel="0" collapsed="false">
      <c r="A30" s="12"/>
      <c r="B30" s="12"/>
      <c r="C30" s="12"/>
      <c r="D30" s="13"/>
      <c r="E30" s="12"/>
      <c r="F30" s="14"/>
      <c r="G30" s="14"/>
      <c r="H30" s="12"/>
      <c r="I30" s="15" t="str">
        <f aca="false">IF(D30="","",IF(E30="Mensal",D30,IF(E30="Anual",D30/12,0)))</f>
        <v/>
      </c>
      <c r="J30" s="12"/>
    </row>
    <row r="31" customFormat="false" ht="15" hidden="false" customHeight="false" outlineLevel="0" collapsed="false">
      <c r="A31" s="12"/>
      <c r="B31" s="12"/>
      <c r="C31" s="12"/>
      <c r="D31" s="13"/>
      <c r="E31" s="12"/>
      <c r="F31" s="14"/>
      <c r="G31" s="14"/>
      <c r="H31" s="12"/>
      <c r="I31" s="15" t="str">
        <f aca="false">IF(D31="","",IF(E31="Mensal",D31,IF(E31="Anual",D31/12,0)))</f>
        <v/>
      </c>
      <c r="J31" s="12"/>
    </row>
    <row r="32" customFormat="false" ht="15" hidden="false" customHeight="false" outlineLevel="0" collapsed="false">
      <c r="A32" s="12"/>
      <c r="B32" s="12"/>
      <c r="C32" s="12"/>
      <c r="D32" s="13"/>
      <c r="E32" s="12"/>
      <c r="F32" s="14"/>
      <c r="G32" s="14"/>
      <c r="H32" s="12"/>
      <c r="I32" s="15" t="str">
        <f aca="false">IF(D32="","",IF(E32="Mensal",D32,IF(E32="Anual",D32/12,0)))</f>
        <v/>
      </c>
      <c r="J32" s="12"/>
    </row>
    <row r="33" customFormat="false" ht="15" hidden="false" customHeight="false" outlineLevel="0" collapsed="false">
      <c r="A33" s="12"/>
      <c r="B33" s="12"/>
      <c r="C33" s="12"/>
      <c r="D33" s="13"/>
      <c r="E33" s="12"/>
      <c r="F33" s="14"/>
      <c r="G33" s="14"/>
      <c r="H33" s="12"/>
      <c r="I33" s="15" t="str">
        <f aca="false">IF(D33="","",IF(E33="Mensal",D33,IF(E33="Anual",D33/12,0)))</f>
        <v/>
      </c>
      <c r="J33" s="12"/>
    </row>
    <row r="34" customFormat="false" ht="15" hidden="false" customHeight="false" outlineLevel="0" collapsed="false">
      <c r="A34" s="12"/>
      <c r="B34" s="12"/>
      <c r="C34" s="12"/>
      <c r="D34" s="13"/>
      <c r="E34" s="12"/>
      <c r="F34" s="14"/>
      <c r="G34" s="14"/>
      <c r="H34" s="12"/>
      <c r="I34" s="15" t="str">
        <f aca="false">IF(D34="","",IF(E34="Mensal",D34,IF(E34="Anual",D34/12,0)))</f>
        <v/>
      </c>
      <c r="J34" s="12"/>
    </row>
    <row r="35" customFormat="false" ht="15" hidden="false" customHeight="false" outlineLevel="0" collapsed="false">
      <c r="A35" s="12"/>
      <c r="B35" s="12"/>
      <c r="C35" s="12"/>
      <c r="D35" s="13"/>
      <c r="E35" s="12"/>
      <c r="F35" s="14"/>
      <c r="G35" s="14"/>
      <c r="H35" s="12"/>
      <c r="I35" s="15" t="str">
        <f aca="false">IF(D35="","",IF(E35="Mensal",D35,IF(E35="Anual",D35/12,0)))</f>
        <v/>
      </c>
      <c r="J35" s="12"/>
    </row>
    <row r="36" customFormat="false" ht="15" hidden="false" customHeight="false" outlineLevel="0" collapsed="false">
      <c r="A36" s="12"/>
      <c r="B36" s="12"/>
      <c r="C36" s="12"/>
      <c r="D36" s="13"/>
      <c r="E36" s="12"/>
      <c r="F36" s="14"/>
      <c r="G36" s="14"/>
      <c r="H36" s="12"/>
      <c r="I36" s="15" t="str">
        <f aca="false">IF(D36="","",IF(E36="Mensal",D36,IF(E36="Anual",D36/12,0)))</f>
        <v/>
      </c>
      <c r="J36" s="12"/>
    </row>
    <row r="37" customFormat="false" ht="15" hidden="false" customHeight="false" outlineLevel="0" collapsed="false">
      <c r="A37" s="12"/>
      <c r="B37" s="12"/>
      <c r="C37" s="12"/>
      <c r="D37" s="13"/>
      <c r="E37" s="12"/>
      <c r="F37" s="14"/>
      <c r="G37" s="14"/>
      <c r="H37" s="12"/>
      <c r="I37" s="15" t="str">
        <f aca="false">IF(D37="","",IF(E37="Mensal",D37,IF(E37="Anual",D37/12,0)))</f>
        <v/>
      </c>
      <c r="J37" s="12"/>
    </row>
    <row r="38" customFormat="false" ht="15" hidden="false" customHeight="false" outlineLevel="0" collapsed="false">
      <c r="A38" s="12"/>
      <c r="B38" s="12"/>
      <c r="C38" s="12"/>
      <c r="D38" s="13"/>
      <c r="E38" s="12"/>
      <c r="F38" s="14"/>
      <c r="G38" s="14"/>
      <c r="H38" s="12"/>
      <c r="I38" s="15" t="str">
        <f aca="false">IF(D38="","",IF(E38="Mensal",D38,IF(E38="Anual",D38/12,0)))</f>
        <v/>
      </c>
      <c r="J38" s="12"/>
    </row>
    <row r="39" customFormat="false" ht="15" hidden="false" customHeight="false" outlineLevel="0" collapsed="false">
      <c r="A39" s="12"/>
      <c r="B39" s="12"/>
      <c r="C39" s="12"/>
      <c r="D39" s="13"/>
      <c r="E39" s="12"/>
      <c r="F39" s="14"/>
      <c r="G39" s="14"/>
      <c r="H39" s="12"/>
      <c r="I39" s="15" t="str">
        <f aca="false">IF(D39="","",IF(E39="Mensal",D39,IF(E39="Anual",D39/12,0)))</f>
        <v/>
      </c>
      <c r="J39" s="12"/>
    </row>
    <row r="40" customFormat="false" ht="15" hidden="false" customHeight="false" outlineLevel="0" collapsed="false">
      <c r="A40" s="12"/>
      <c r="B40" s="12"/>
      <c r="C40" s="12"/>
      <c r="D40" s="13"/>
      <c r="E40" s="12"/>
      <c r="F40" s="14"/>
      <c r="G40" s="14"/>
      <c r="H40" s="12"/>
      <c r="I40" s="15" t="str">
        <f aca="false">IF(D40="","",IF(E40="Mensal",D40,IF(E40="Anual",D40/12,0)))</f>
        <v/>
      </c>
      <c r="J40" s="12"/>
    </row>
    <row r="41" customFormat="false" ht="15" hidden="false" customHeight="false" outlineLevel="0" collapsed="false">
      <c r="A41" s="12"/>
      <c r="B41" s="12"/>
      <c r="C41" s="12"/>
      <c r="D41" s="13"/>
      <c r="E41" s="12"/>
      <c r="F41" s="14"/>
      <c r="G41" s="14"/>
      <c r="H41" s="12"/>
      <c r="I41" s="15" t="str">
        <f aca="false">IF(D41="","",IF(E41="Mensal",D41,IF(E41="Anual",D41/12,0)))</f>
        <v/>
      </c>
      <c r="J41" s="12"/>
    </row>
    <row r="42" customFormat="false" ht="15" hidden="false" customHeight="false" outlineLevel="0" collapsed="false">
      <c r="A42" s="12"/>
      <c r="B42" s="12"/>
      <c r="C42" s="12"/>
      <c r="D42" s="13"/>
      <c r="E42" s="12"/>
      <c r="F42" s="14"/>
      <c r="G42" s="14"/>
      <c r="H42" s="12"/>
      <c r="I42" s="15" t="str">
        <f aca="false">IF(D42="","",IF(E42="Mensal",D42,IF(E42="Anual",D42/12,0)))</f>
        <v/>
      </c>
      <c r="J42" s="12"/>
    </row>
    <row r="43" customFormat="false" ht="15" hidden="false" customHeight="false" outlineLevel="0" collapsed="false">
      <c r="A43" s="12"/>
      <c r="B43" s="12"/>
      <c r="C43" s="12"/>
      <c r="D43" s="13"/>
      <c r="E43" s="12"/>
      <c r="F43" s="14"/>
      <c r="G43" s="14"/>
      <c r="H43" s="12"/>
      <c r="I43" s="15" t="str">
        <f aca="false">IF(D43="","",IF(E43="Mensal",D43,IF(E43="Anual",D43/12,0)))</f>
        <v/>
      </c>
      <c r="J43" s="12"/>
    </row>
    <row r="44" customFormat="false" ht="15" hidden="false" customHeight="false" outlineLevel="0" collapsed="false">
      <c r="A44" s="12"/>
      <c r="B44" s="12"/>
      <c r="C44" s="12"/>
      <c r="D44" s="13"/>
      <c r="E44" s="12"/>
      <c r="F44" s="14"/>
      <c r="G44" s="14"/>
      <c r="H44" s="12"/>
      <c r="I44" s="15" t="str">
        <f aca="false">IF(D44="","",IF(E44="Mensal",D44,IF(E44="Anual",D44/12,0)))</f>
        <v/>
      </c>
      <c r="J44" s="12"/>
    </row>
    <row r="45" customFormat="false" ht="15" hidden="false" customHeight="false" outlineLevel="0" collapsed="false">
      <c r="A45" s="12"/>
      <c r="B45" s="12"/>
      <c r="C45" s="12"/>
      <c r="D45" s="13"/>
      <c r="E45" s="12"/>
      <c r="F45" s="14"/>
      <c r="G45" s="14"/>
      <c r="H45" s="12"/>
      <c r="I45" s="15" t="str">
        <f aca="false">IF(D45="","",IF(E45="Mensal",D45,IF(E45="Anual",D45/12,0)))</f>
        <v/>
      </c>
      <c r="J45" s="12"/>
    </row>
    <row r="46" customFormat="false" ht="15" hidden="false" customHeight="false" outlineLevel="0" collapsed="false">
      <c r="A46" s="12"/>
      <c r="B46" s="12"/>
      <c r="C46" s="12"/>
      <c r="D46" s="13"/>
      <c r="E46" s="12"/>
      <c r="F46" s="14"/>
      <c r="G46" s="14"/>
      <c r="H46" s="12"/>
      <c r="I46" s="15" t="str">
        <f aca="false">IF(D46="","",IF(E46="Mensal",D46,IF(E46="Anual",D46/12,0)))</f>
        <v/>
      </c>
      <c r="J46" s="12"/>
    </row>
    <row r="47" customFormat="false" ht="15" hidden="false" customHeight="false" outlineLevel="0" collapsed="false">
      <c r="A47" s="12"/>
      <c r="B47" s="12"/>
      <c r="C47" s="12"/>
      <c r="D47" s="13"/>
      <c r="E47" s="12"/>
      <c r="F47" s="14"/>
      <c r="G47" s="14"/>
      <c r="H47" s="12"/>
      <c r="I47" s="15" t="str">
        <f aca="false">IF(D47="","",IF(E47="Mensal",D47,IF(E47="Anual",D47/12,0)))</f>
        <v/>
      </c>
      <c r="J47" s="12"/>
    </row>
    <row r="48" customFormat="false" ht="15" hidden="false" customHeight="false" outlineLevel="0" collapsed="false">
      <c r="A48" s="12"/>
      <c r="B48" s="12"/>
      <c r="C48" s="12"/>
      <c r="D48" s="13"/>
      <c r="E48" s="12"/>
      <c r="F48" s="14"/>
      <c r="G48" s="14"/>
      <c r="H48" s="12"/>
      <c r="I48" s="15" t="str">
        <f aca="false">IF(D48="","",IF(E48="Mensal",D48,IF(E48="Anual",D48/12,0)))</f>
        <v/>
      </c>
      <c r="J48" s="12"/>
    </row>
    <row r="49" customFormat="false" ht="15" hidden="false" customHeight="false" outlineLevel="0" collapsed="false">
      <c r="A49" s="12"/>
      <c r="B49" s="12"/>
      <c r="C49" s="12"/>
      <c r="D49" s="13"/>
      <c r="E49" s="12"/>
      <c r="F49" s="14"/>
      <c r="G49" s="14"/>
      <c r="H49" s="12"/>
      <c r="I49" s="15" t="str">
        <f aca="false">IF(D49="","",IF(E49="Mensal",D49,IF(E49="Anual",D49/12,0)))</f>
        <v/>
      </c>
      <c r="J49" s="12"/>
    </row>
    <row r="50" customFormat="false" ht="15" hidden="false" customHeight="false" outlineLevel="0" collapsed="false">
      <c r="A50" s="12"/>
      <c r="B50" s="12"/>
      <c r="C50" s="12"/>
      <c r="D50" s="13"/>
      <c r="E50" s="12"/>
      <c r="F50" s="14"/>
      <c r="G50" s="14"/>
      <c r="H50" s="12"/>
      <c r="I50" s="15" t="str">
        <f aca="false">IF(D50="","",IF(E50="Mensal",D50,IF(E50="Anual",D50/12,0)))</f>
        <v/>
      </c>
      <c r="J50" s="12"/>
    </row>
    <row r="51" customFormat="false" ht="15" hidden="false" customHeight="false" outlineLevel="0" collapsed="false">
      <c r="A51" s="12"/>
      <c r="B51" s="12"/>
      <c r="C51" s="12"/>
      <c r="D51" s="13"/>
      <c r="E51" s="12"/>
      <c r="F51" s="14"/>
      <c r="G51" s="14"/>
      <c r="H51" s="12"/>
      <c r="I51" s="15" t="str">
        <f aca="false">IF(D51="","",IF(E51="Mensal",D51,IF(E51="Anual",D51/12,0)))</f>
        <v/>
      </c>
      <c r="J51" s="12"/>
    </row>
    <row r="52" customFormat="false" ht="15" hidden="false" customHeight="false" outlineLevel="0" collapsed="false">
      <c r="A52" s="12"/>
      <c r="B52" s="12"/>
      <c r="C52" s="12"/>
      <c r="D52" s="13"/>
      <c r="E52" s="12"/>
      <c r="F52" s="14"/>
      <c r="G52" s="14"/>
      <c r="H52" s="12"/>
      <c r="I52" s="15" t="str">
        <f aca="false">IF(D52="","",IF(E52="Mensal",D52,IF(E52="Anual",D52/12,0)))</f>
        <v/>
      </c>
      <c r="J52" s="12"/>
    </row>
    <row r="53" customFormat="false" ht="15" hidden="false" customHeight="false" outlineLevel="0" collapsed="false">
      <c r="A53" s="12"/>
      <c r="B53" s="12"/>
      <c r="C53" s="12"/>
      <c r="D53" s="13"/>
      <c r="E53" s="12"/>
      <c r="F53" s="14"/>
      <c r="G53" s="14"/>
      <c r="H53" s="12"/>
      <c r="I53" s="15" t="str">
        <f aca="false">IF(D53="","",IF(E53="Mensal",D53,IF(E53="Anual",D53/12,0)))</f>
        <v/>
      </c>
      <c r="J53" s="12"/>
    </row>
    <row r="54" customFormat="false" ht="15" hidden="false" customHeight="false" outlineLevel="0" collapsed="false">
      <c r="A54" s="12"/>
      <c r="B54" s="12"/>
      <c r="C54" s="12"/>
      <c r="D54" s="13"/>
      <c r="E54" s="12"/>
      <c r="F54" s="14"/>
      <c r="G54" s="14"/>
      <c r="H54" s="12"/>
      <c r="I54" s="15" t="str">
        <f aca="false">IF(D54="","",IF(E54="Mensal",D54,IF(E54="Anual",D54/12,0)))</f>
        <v/>
      </c>
      <c r="J54" s="12"/>
    </row>
    <row r="55" customFormat="false" ht="15" hidden="false" customHeight="false" outlineLevel="0" collapsed="false">
      <c r="A55" s="12"/>
      <c r="B55" s="12"/>
      <c r="C55" s="12"/>
      <c r="D55" s="13"/>
      <c r="E55" s="12"/>
      <c r="F55" s="14"/>
      <c r="G55" s="14"/>
      <c r="H55" s="12"/>
      <c r="I55" s="15" t="str">
        <f aca="false">IF(D55="","",IF(E55="Mensal",D55,IF(E55="Anual",D55/12,0)))</f>
        <v/>
      </c>
      <c r="J55" s="12"/>
    </row>
    <row r="56" customFormat="false" ht="15" hidden="false" customHeight="false" outlineLevel="0" collapsed="false">
      <c r="A56" s="12"/>
      <c r="B56" s="12"/>
      <c r="C56" s="12"/>
      <c r="D56" s="13"/>
      <c r="E56" s="12"/>
      <c r="F56" s="14"/>
      <c r="G56" s="14"/>
      <c r="H56" s="12"/>
      <c r="I56" s="15" t="str">
        <f aca="false">IF(D56="","",IF(E56="Mensal",D56,IF(E56="Anual",D56/12,0)))</f>
        <v/>
      </c>
      <c r="J56" s="12"/>
    </row>
    <row r="57" customFormat="false" ht="15" hidden="false" customHeight="false" outlineLevel="0" collapsed="false">
      <c r="A57" s="12"/>
      <c r="B57" s="12"/>
      <c r="C57" s="12"/>
      <c r="D57" s="13"/>
      <c r="E57" s="12"/>
      <c r="F57" s="14"/>
      <c r="G57" s="14"/>
      <c r="H57" s="12"/>
      <c r="I57" s="15" t="str">
        <f aca="false">IF(D57="","",IF(E57="Mensal",D57,IF(E57="Anual",D57/12,0)))</f>
        <v/>
      </c>
      <c r="J57" s="12"/>
    </row>
    <row r="58" customFormat="false" ht="15" hidden="false" customHeight="false" outlineLevel="0" collapsed="false">
      <c r="A58" s="12"/>
      <c r="B58" s="12"/>
      <c r="C58" s="12"/>
      <c r="D58" s="13"/>
      <c r="E58" s="12"/>
      <c r="F58" s="14"/>
      <c r="G58" s="14"/>
      <c r="H58" s="12"/>
      <c r="I58" s="15" t="str">
        <f aca="false">IF(D58="","",IF(E58="Mensal",D58,IF(E58="Anual",D58/12,0)))</f>
        <v/>
      </c>
      <c r="J58" s="12"/>
    </row>
    <row r="59" customFormat="false" ht="15" hidden="false" customHeight="false" outlineLevel="0" collapsed="false">
      <c r="A59" s="12"/>
      <c r="B59" s="12"/>
      <c r="C59" s="12"/>
      <c r="D59" s="13"/>
      <c r="E59" s="12"/>
      <c r="F59" s="14"/>
      <c r="G59" s="14"/>
      <c r="H59" s="12"/>
      <c r="I59" s="15" t="str">
        <f aca="false">IF(D59="","",IF(E59="Mensal",D59,IF(E59="Anual",D59/12,0)))</f>
        <v/>
      </c>
      <c r="J59" s="12"/>
    </row>
    <row r="60" customFormat="false" ht="15" hidden="false" customHeight="false" outlineLevel="0" collapsed="false">
      <c r="A60" s="12"/>
      <c r="B60" s="12"/>
      <c r="C60" s="12"/>
      <c r="D60" s="13"/>
      <c r="E60" s="12"/>
      <c r="F60" s="14"/>
      <c r="G60" s="14"/>
      <c r="H60" s="12"/>
      <c r="I60" s="15" t="str">
        <f aca="false">IF(D60="","",IF(E60="Mensal",D60,IF(E60="Anual",D60/12,0)))</f>
        <v/>
      </c>
      <c r="J60" s="12"/>
    </row>
    <row r="61" customFormat="false" ht="15" hidden="false" customHeight="false" outlineLevel="0" collapsed="false">
      <c r="A61" s="12"/>
      <c r="B61" s="12"/>
      <c r="C61" s="12"/>
      <c r="D61" s="13"/>
      <c r="E61" s="12"/>
      <c r="F61" s="14"/>
      <c r="G61" s="14"/>
      <c r="H61" s="12"/>
      <c r="I61" s="15" t="str">
        <f aca="false">IF(D61="","",IF(E61="Mensal",D61,IF(E61="Anual",D61/12,0)))</f>
        <v/>
      </c>
      <c r="J61" s="12"/>
    </row>
  </sheetData>
  <dataValidations count="4">
    <dataValidation allowBlank="true" errorStyle="stop" operator="between" showDropDown="false" showErrorMessage="false" showInputMessage="false" sqref="C2:C61" type="list">
      <formula1>"Fixa,Variável"</formula1>
      <formula2>0</formula2>
    </dataValidation>
    <dataValidation allowBlank="true" errorStyle="stop" operator="between" showDropDown="false" showErrorMessage="false" showInputMessage="false" sqref="E2:E61" type="list">
      <formula1>"Mensal,Anual,Única"</formula1>
      <formula2>0</formula2>
    </dataValidation>
    <dataValidation allowBlank="true" errorStyle="stop" operator="between" showDropDown="false" showErrorMessage="false" showInputMessage="false" sqref="H2:H61" type="list">
      <formula1>"Sim,Não"</formula1>
      <formula2>0</formula2>
    </dataValidation>
    <dataValidation allowBlank="true" errorStyle="stop" operator="between" showDropDown="false" showErrorMessage="false" showInputMessage="false" sqref="J2:J61" type="list">
      <formula1>Cartões!$A$2:$A$31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1"/>
    <col collapsed="false" customWidth="true" hidden="false" outlineLevel="0" max="4" min="4" style="0" width="14"/>
    <col collapsed="false" customWidth="true" hidden="false" outlineLevel="0" max="7" min="5" style="0" width="13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5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7" t="s">
        <v>35</v>
      </c>
      <c r="B1" s="17" t="s">
        <v>36</v>
      </c>
      <c r="C1" s="17" t="s">
        <v>53</v>
      </c>
      <c r="D1" s="17" t="s">
        <v>37</v>
      </c>
      <c r="E1" s="17" t="s">
        <v>11</v>
      </c>
      <c r="F1" s="17" t="s">
        <v>38</v>
      </c>
      <c r="G1" s="17" t="s">
        <v>39</v>
      </c>
      <c r="H1" s="17" t="s">
        <v>13</v>
      </c>
      <c r="I1" s="17" t="s">
        <v>76</v>
      </c>
      <c r="J1" s="17" t="s">
        <v>40</v>
      </c>
      <c r="K1" s="17" t="s">
        <v>54</v>
      </c>
    </row>
    <row r="2" customFormat="false" ht="15" hidden="false" customHeight="false" outlineLevel="0" collapsed="false">
      <c r="A2" s="12" t="s">
        <v>77</v>
      </c>
      <c r="B2" s="12" t="s">
        <v>78</v>
      </c>
      <c r="C2" s="12" t="s">
        <v>57</v>
      </c>
      <c r="D2" s="13" t="n">
        <v>2100</v>
      </c>
      <c r="E2" s="12" t="s">
        <v>43</v>
      </c>
      <c r="F2" s="14"/>
      <c r="G2" s="14"/>
      <c r="H2" s="12" t="s">
        <v>44</v>
      </c>
      <c r="I2" s="12" t="s">
        <v>79</v>
      </c>
      <c r="J2" s="15" t="n">
        <f aca="false">IF(D2="","",IF(E2="Mensal",D2,IF(E2="Anual",D2/12,0)))</f>
        <v>2100</v>
      </c>
      <c r="K2" s="12"/>
    </row>
    <row r="3" customFormat="false" ht="15" hidden="false" customHeight="false" outlineLevel="0" collapsed="false">
      <c r="A3" s="12" t="s">
        <v>80</v>
      </c>
      <c r="B3" s="12" t="s">
        <v>78</v>
      </c>
      <c r="C3" s="12" t="s">
        <v>57</v>
      </c>
      <c r="D3" s="13" t="n">
        <v>480</v>
      </c>
      <c r="E3" s="12" t="s">
        <v>43</v>
      </c>
      <c r="F3" s="14"/>
      <c r="G3" s="14"/>
      <c r="H3" s="12" t="s">
        <v>44</v>
      </c>
      <c r="I3" s="12" t="s">
        <v>81</v>
      </c>
      <c r="J3" s="15" t="n">
        <f aca="false">IF(D3="","",IF(E3="Mensal",D3,IF(E3="Anual",D3/12,0)))</f>
        <v>480</v>
      </c>
      <c r="K3" s="12"/>
    </row>
    <row r="4" customFormat="false" ht="15" hidden="false" customHeight="false" outlineLevel="0" collapsed="false">
      <c r="A4" s="12" t="s">
        <v>82</v>
      </c>
      <c r="B4" s="12" t="s">
        <v>78</v>
      </c>
      <c r="C4" s="12" t="s">
        <v>64</v>
      </c>
      <c r="D4" s="13" t="n">
        <v>260</v>
      </c>
      <c r="E4" s="12" t="s">
        <v>43</v>
      </c>
      <c r="F4" s="14"/>
      <c r="G4" s="14"/>
      <c r="H4" s="12" t="s">
        <v>44</v>
      </c>
      <c r="I4" s="12" t="s">
        <v>79</v>
      </c>
      <c r="J4" s="15" t="n">
        <f aca="false">IF(D4="","",IF(E4="Mensal",D4,IF(E4="Anual",D4/12,0)))</f>
        <v>260</v>
      </c>
      <c r="K4" s="12"/>
    </row>
    <row r="5" customFormat="false" ht="15" hidden="false" customHeight="false" outlineLevel="0" collapsed="false">
      <c r="A5" s="12" t="s">
        <v>83</v>
      </c>
      <c r="B5" s="12" t="s">
        <v>78</v>
      </c>
      <c r="C5" s="12" t="s">
        <v>64</v>
      </c>
      <c r="D5" s="13" t="n">
        <v>140</v>
      </c>
      <c r="E5" s="12" t="s">
        <v>43</v>
      </c>
      <c r="F5" s="14"/>
      <c r="G5" s="14"/>
      <c r="H5" s="12" t="s">
        <v>44</v>
      </c>
      <c r="I5" s="12" t="s">
        <v>81</v>
      </c>
      <c r="J5" s="15" t="n">
        <f aca="false">IF(D5="","",IF(E5="Mensal",D5,IF(E5="Anual",D5/12,0)))</f>
        <v>140</v>
      </c>
      <c r="K5" s="12"/>
    </row>
    <row r="6" customFormat="false" ht="15" hidden="false" customHeight="false" outlineLevel="0" collapsed="false">
      <c r="A6" s="12" t="s">
        <v>84</v>
      </c>
      <c r="B6" s="12" t="s">
        <v>78</v>
      </c>
      <c r="C6" s="12" t="s">
        <v>57</v>
      </c>
      <c r="D6" s="13" t="n">
        <v>120</v>
      </c>
      <c r="E6" s="12" t="s">
        <v>43</v>
      </c>
      <c r="F6" s="14"/>
      <c r="G6" s="14"/>
      <c r="H6" s="12" t="s">
        <v>47</v>
      </c>
      <c r="I6" s="12" t="s">
        <v>81</v>
      </c>
      <c r="J6" s="15" t="n">
        <f aca="false">IF(D6="","",IF(E6="Mensal",D6,IF(E6="Anual",D6/12,0)))</f>
        <v>120</v>
      </c>
      <c r="K6" s="12"/>
    </row>
    <row r="7" customFormat="false" ht="15" hidden="false" customHeight="false" outlineLevel="0" collapsed="false">
      <c r="A7" s="12" t="s">
        <v>85</v>
      </c>
      <c r="B7" s="12" t="s">
        <v>86</v>
      </c>
      <c r="C7" s="12" t="s">
        <v>64</v>
      </c>
      <c r="D7" s="13" t="n">
        <v>1600</v>
      </c>
      <c r="E7" s="12" t="s">
        <v>43</v>
      </c>
      <c r="F7" s="14"/>
      <c r="G7" s="14"/>
      <c r="H7" s="12" t="s">
        <v>44</v>
      </c>
      <c r="I7" s="12" t="s">
        <v>87</v>
      </c>
      <c r="J7" s="15" t="n">
        <f aca="false">IF(D7="","",IF(E7="Mensal",D7,IF(E7="Anual",D7/12,0)))</f>
        <v>1600</v>
      </c>
      <c r="K7" s="12"/>
    </row>
    <row r="8" customFormat="false" ht="15" hidden="false" customHeight="false" outlineLevel="0" collapsed="false">
      <c r="A8" s="12" t="s">
        <v>88</v>
      </c>
      <c r="B8" s="12" t="s">
        <v>86</v>
      </c>
      <c r="C8" s="12" t="s">
        <v>64</v>
      </c>
      <c r="D8" s="13" t="n">
        <v>650</v>
      </c>
      <c r="E8" s="12" t="s">
        <v>43</v>
      </c>
      <c r="F8" s="14"/>
      <c r="G8" s="14"/>
      <c r="H8" s="12" t="s">
        <v>44</v>
      </c>
      <c r="I8" s="12" t="s">
        <v>79</v>
      </c>
      <c r="J8" s="15" t="n">
        <f aca="false">IF(D8="","",IF(E8="Mensal",D8,IF(E8="Anual",D8/12,0)))</f>
        <v>650</v>
      </c>
      <c r="K8" s="12" t="s">
        <v>58</v>
      </c>
    </row>
    <row r="9" customFormat="false" ht="15" hidden="false" customHeight="false" outlineLevel="0" collapsed="false">
      <c r="A9" s="12" t="s">
        <v>89</v>
      </c>
      <c r="B9" s="12" t="s">
        <v>66</v>
      </c>
      <c r="C9" s="12" t="s">
        <v>57</v>
      </c>
      <c r="D9" s="13" t="n">
        <v>90</v>
      </c>
      <c r="E9" s="12" t="s">
        <v>43</v>
      </c>
      <c r="F9" s="14"/>
      <c r="G9" s="14"/>
      <c r="H9" s="12" t="s">
        <v>47</v>
      </c>
      <c r="I9" s="12" t="s">
        <v>79</v>
      </c>
      <c r="J9" s="15" t="n">
        <f aca="false">IF(D9="","",IF(E9="Mensal",D9,IF(E9="Anual",D9/12,0)))</f>
        <v>90</v>
      </c>
      <c r="K9" s="12" t="s">
        <v>58</v>
      </c>
    </row>
    <row r="10" customFormat="false" ht="15" hidden="false" customHeight="false" outlineLevel="0" collapsed="false">
      <c r="A10" s="12" t="s">
        <v>90</v>
      </c>
      <c r="B10" s="12" t="s">
        <v>66</v>
      </c>
      <c r="C10" s="12" t="s">
        <v>64</v>
      </c>
      <c r="D10" s="13" t="n">
        <v>400</v>
      </c>
      <c r="E10" s="12" t="s">
        <v>43</v>
      </c>
      <c r="F10" s="14"/>
      <c r="G10" s="14"/>
      <c r="H10" s="12" t="s">
        <v>44</v>
      </c>
      <c r="I10" s="12" t="s">
        <v>87</v>
      </c>
      <c r="J10" s="15" t="n">
        <f aca="false">IF(D10="","",IF(E10="Mensal",D10,IF(E10="Anual",D10/12,0)))</f>
        <v>400</v>
      </c>
      <c r="K10" s="12"/>
    </row>
    <row r="11" customFormat="false" ht="15" hidden="false" customHeight="false" outlineLevel="0" collapsed="false">
      <c r="A11" s="12" t="s">
        <v>91</v>
      </c>
      <c r="B11" s="12" t="s">
        <v>66</v>
      </c>
      <c r="C11" s="12" t="s">
        <v>64</v>
      </c>
      <c r="D11" s="13" t="n">
        <v>1200</v>
      </c>
      <c r="E11" s="12" t="s">
        <v>52</v>
      </c>
      <c r="F11" s="14" t="n">
        <v>46357</v>
      </c>
      <c r="G11" s="14"/>
      <c r="H11" s="12" t="s">
        <v>47</v>
      </c>
      <c r="I11" s="12" t="s">
        <v>87</v>
      </c>
      <c r="J11" s="15" t="n">
        <f aca="false">IF(D11="","",IF(E11="Mensal",D11,IF(E11="Anual",D11/12,0)))</f>
        <v>0</v>
      </c>
      <c r="K11" s="12"/>
    </row>
    <row r="12" customFormat="false" ht="15" hidden="false" customHeight="false" outlineLevel="0" collapsed="false">
      <c r="A12" s="12" t="s">
        <v>92</v>
      </c>
      <c r="B12" s="12" t="s">
        <v>66</v>
      </c>
      <c r="C12" s="12" t="s">
        <v>64</v>
      </c>
      <c r="D12" s="13" t="n">
        <v>6000</v>
      </c>
      <c r="E12" s="12" t="s">
        <v>52</v>
      </c>
      <c r="F12" s="14" t="n">
        <v>46569</v>
      </c>
      <c r="G12" s="14"/>
      <c r="H12" s="12" t="s">
        <v>47</v>
      </c>
      <c r="I12" s="12" t="s">
        <v>87</v>
      </c>
      <c r="J12" s="15" t="n">
        <f aca="false">IF(D12="","",IF(E12="Mensal",D12,IF(E12="Anual",D12/12,0)))</f>
        <v>0</v>
      </c>
      <c r="K12" s="12"/>
    </row>
    <row r="13" customFormat="false" ht="15" hidden="false" customHeight="false" outlineLevel="0" collapsed="false">
      <c r="A13" s="12"/>
      <c r="B13" s="12"/>
      <c r="C13" s="12"/>
      <c r="D13" s="13"/>
      <c r="E13" s="12"/>
      <c r="F13" s="14"/>
      <c r="G13" s="14"/>
      <c r="H13" s="12"/>
      <c r="I13" s="12"/>
      <c r="J13" s="15" t="str">
        <f aca="false">IF(D13="","",IF(E13="Mensal",D13,IF(E13="Anual",D13/12,0)))</f>
        <v/>
      </c>
      <c r="K13" s="12"/>
    </row>
    <row r="14" customFormat="false" ht="15" hidden="false" customHeight="false" outlineLevel="0" collapsed="false">
      <c r="A14" s="12"/>
      <c r="B14" s="12"/>
      <c r="C14" s="12"/>
      <c r="D14" s="13"/>
      <c r="E14" s="12"/>
      <c r="F14" s="14"/>
      <c r="G14" s="14"/>
      <c r="H14" s="12"/>
      <c r="I14" s="12"/>
      <c r="J14" s="15" t="str">
        <f aca="false">IF(D14="","",IF(E14="Mensal",D14,IF(E14="Anual",D14/12,0)))</f>
        <v/>
      </c>
      <c r="K14" s="12"/>
    </row>
    <row r="15" customFormat="false" ht="15" hidden="false" customHeight="false" outlineLevel="0" collapsed="false">
      <c r="A15" s="12"/>
      <c r="B15" s="12"/>
      <c r="C15" s="12"/>
      <c r="D15" s="13"/>
      <c r="E15" s="12"/>
      <c r="F15" s="14"/>
      <c r="G15" s="14"/>
      <c r="H15" s="12"/>
      <c r="I15" s="12"/>
      <c r="J15" s="15" t="str">
        <f aca="false">IF(D15="","",IF(E15="Mensal",D15,IF(E15="Anual",D15/12,0)))</f>
        <v/>
      </c>
      <c r="K15" s="12"/>
    </row>
    <row r="16" customFormat="false" ht="15" hidden="false" customHeight="false" outlineLevel="0" collapsed="false">
      <c r="A16" s="12"/>
      <c r="B16" s="12"/>
      <c r="C16" s="12"/>
      <c r="D16" s="13"/>
      <c r="E16" s="12"/>
      <c r="F16" s="14"/>
      <c r="G16" s="14"/>
      <c r="H16" s="12"/>
      <c r="I16" s="12"/>
      <c r="J16" s="15" t="str">
        <f aca="false">IF(D16="","",IF(E16="Mensal",D16,IF(E16="Anual",D16/12,0)))</f>
        <v/>
      </c>
      <c r="K16" s="12"/>
    </row>
    <row r="17" customFormat="false" ht="15" hidden="false" customHeight="false" outlineLevel="0" collapsed="false">
      <c r="A17" s="12"/>
      <c r="B17" s="12"/>
      <c r="C17" s="12"/>
      <c r="D17" s="13"/>
      <c r="E17" s="12"/>
      <c r="F17" s="14"/>
      <c r="G17" s="14"/>
      <c r="H17" s="12"/>
      <c r="I17" s="12"/>
      <c r="J17" s="15" t="str">
        <f aca="false">IF(D17="","",IF(E17="Mensal",D17,IF(E17="Anual",D17/12,0)))</f>
        <v/>
      </c>
      <c r="K17" s="12"/>
    </row>
    <row r="18" customFormat="false" ht="15" hidden="false" customHeight="false" outlineLevel="0" collapsed="false">
      <c r="A18" s="12"/>
      <c r="B18" s="12"/>
      <c r="C18" s="12"/>
      <c r="D18" s="13"/>
      <c r="E18" s="12"/>
      <c r="F18" s="14"/>
      <c r="G18" s="14"/>
      <c r="H18" s="12"/>
      <c r="I18" s="12"/>
      <c r="J18" s="15" t="str">
        <f aca="false">IF(D18="","",IF(E18="Mensal",D18,IF(E18="Anual",D18/12,0)))</f>
        <v/>
      </c>
      <c r="K18" s="12"/>
    </row>
    <row r="19" customFormat="false" ht="15" hidden="false" customHeight="false" outlineLevel="0" collapsed="false">
      <c r="A19" s="12"/>
      <c r="B19" s="12"/>
      <c r="C19" s="12"/>
      <c r="D19" s="13"/>
      <c r="E19" s="12"/>
      <c r="F19" s="14"/>
      <c r="G19" s="14"/>
      <c r="H19" s="12"/>
      <c r="I19" s="12"/>
      <c r="J19" s="15" t="str">
        <f aca="false">IF(D19="","",IF(E19="Mensal",D19,IF(E19="Anual",D19/12,0)))</f>
        <v/>
      </c>
      <c r="K19" s="12"/>
    </row>
    <row r="20" customFormat="false" ht="15" hidden="false" customHeight="false" outlineLevel="0" collapsed="false">
      <c r="A20" s="12"/>
      <c r="B20" s="12"/>
      <c r="C20" s="12"/>
      <c r="D20" s="13"/>
      <c r="E20" s="12"/>
      <c r="F20" s="14"/>
      <c r="G20" s="14"/>
      <c r="H20" s="12"/>
      <c r="I20" s="12"/>
      <c r="J20" s="15" t="str">
        <f aca="false">IF(D20="","",IF(E20="Mensal",D20,IF(E20="Anual",D20/12,0)))</f>
        <v/>
      </c>
      <c r="K20" s="12"/>
    </row>
    <row r="21" customFormat="false" ht="15" hidden="false" customHeight="false" outlineLevel="0" collapsed="false">
      <c r="A21" s="12"/>
      <c r="B21" s="12"/>
      <c r="C21" s="12"/>
      <c r="D21" s="13"/>
      <c r="E21" s="12"/>
      <c r="F21" s="14"/>
      <c r="G21" s="14"/>
      <c r="H21" s="12"/>
      <c r="I21" s="12"/>
      <c r="J21" s="15" t="str">
        <f aca="false">IF(D21="","",IF(E21="Mensal",D21,IF(E21="Anual",D21/12,0)))</f>
        <v/>
      </c>
      <c r="K21" s="12"/>
    </row>
    <row r="22" customFormat="false" ht="15" hidden="false" customHeight="false" outlineLevel="0" collapsed="false">
      <c r="A22" s="12"/>
      <c r="B22" s="12"/>
      <c r="C22" s="12"/>
      <c r="D22" s="13"/>
      <c r="E22" s="12"/>
      <c r="F22" s="14"/>
      <c r="G22" s="14"/>
      <c r="H22" s="12"/>
      <c r="I22" s="12"/>
      <c r="J22" s="15" t="str">
        <f aca="false">IF(D22="","",IF(E22="Mensal",D22,IF(E22="Anual",D22/12,0)))</f>
        <v/>
      </c>
      <c r="K22" s="12"/>
    </row>
    <row r="23" customFormat="false" ht="15" hidden="false" customHeight="false" outlineLevel="0" collapsed="false">
      <c r="A23" s="12"/>
      <c r="B23" s="12"/>
      <c r="C23" s="12"/>
      <c r="D23" s="13"/>
      <c r="E23" s="12"/>
      <c r="F23" s="14"/>
      <c r="G23" s="14"/>
      <c r="H23" s="12"/>
      <c r="I23" s="12"/>
      <c r="J23" s="15" t="str">
        <f aca="false">IF(D23="","",IF(E23="Mensal",D23,IF(E23="Anual",D23/12,0)))</f>
        <v/>
      </c>
      <c r="K23" s="12"/>
    </row>
    <row r="24" customFormat="false" ht="15" hidden="false" customHeight="false" outlineLevel="0" collapsed="false">
      <c r="A24" s="12"/>
      <c r="B24" s="12"/>
      <c r="C24" s="12"/>
      <c r="D24" s="13"/>
      <c r="E24" s="12"/>
      <c r="F24" s="14"/>
      <c r="G24" s="14"/>
      <c r="H24" s="12"/>
      <c r="I24" s="12"/>
      <c r="J24" s="15" t="str">
        <f aca="false">IF(D24="","",IF(E24="Mensal",D24,IF(E24="Anual",D24/12,0)))</f>
        <v/>
      </c>
      <c r="K24" s="12"/>
    </row>
    <row r="25" customFormat="false" ht="15" hidden="false" customHeight="false" outlineLevel="0" collapsed="false">
      <c r="A25" s="12"/>
      <c r="B25" s="12"/>
      <c r="C25" s="12"/>
      <c r="D25" s="13"/>
      <c r="E25" s="12"/>
      <c r="F25" s="14"/>
      <c r="G25" s="14"/>
      <c r="H25" s="12"/>
      <c r="I25" s="12"/>
      <c r="J25" s="15" t="str">
        <f aca="false">IF(D25="","",IF(E25="Mensal",D25,IF(E25="Anual",D25/12,0)))</f>
        <v/>
      </c>
      <c r="K25" s="12"/>
    </row>
    <row r="26" customFormat="false" ht="15" hidden="false" customHeight="false" outlineLevel="0" collapsed="false">
      <c r="A26" s="12"/>
      <c r="B26" s="12"/>
      <c r="C26" s="12"/>
      <c r="D26" s="13"/>
      <c r="E26" s="12"/>
      <c r="F26" s="14"/>
      <c r="G26" s="14"/>
      <c r="H26" s="12"/>
      <c r="I26" s="12"/>
      <c r="J26" s="15" t="str">
        <f aca="false">IF(D26="","",IF(E26="Mensal",D26,IF(E26="Anual",D26/12,0)))</f>
        <v/>
      </c>
      <c r="K26" s="12"/>
    </row>
    <row r="27" customFormat="false" ht="15" hidden="false" customHeight="false" outlineLevel="0" collapsed="false">
      <c r="A27" s="12"/>
      <c r="B27" s="12"/>
      <c r="C27" s="12"/>
      <c r="D27" s="13"/>
      <c r="E27" s="12"/>
      <c r="F27" s="14"/>
      <c r="G27" s="14"/>
      <c r="H27" s="12"/>
      <c r="I27" s="12"/>
      <c r="J27" s="15" t="str">
        <f aca="false">IF(D27="","",IF(E27="Mensal",D27,IF(E27="Anual",D27/12,0)))</f>
        <v/>
      </c>
      <c r="K27" s="12"/>
    </row>
    <row r="28" customFormat="false" ht="15" hidden="false" customHeight="false" outlineLevel="0" collapsed="false">
      <c r="A28" s="12"/>
      <c r="B28" s="12"/>
      <c r="C28" s="12"/>
      <c r="D28" s="13"/>
      <c r="E28" s="12"/>
      <c r="F28" s="14"/>
      <c r="G28" s="14"/>
      <c r="H28" s="12"/>
      <c r="I28" s="12"/>
      <c r="J28" s="15" t="str">
        <f aca="false">IF(D28="","",IF(E28="Mensal",D28,IF(E28="Anual",D28/12,0)))</f>
        <v/>
      </c>
      <c r="K28" s="12"/>
    </row>
    <row r="29" customFormat="false" ht="15" hidden="false" customHeight="false" outlineLevel="0" collapsed="false">
      <c r="A29" s="12"/>
      <c r="B29" s="12"/>
      <c r="C29" s="12"/>
      <c r="D29" s="13"/>
      <c r="E29" s="12"/>
      <c r="F29" s="14"/>
      <c r="G29" s="14"/>
      <c r="H29" s="12"/>
      <c r="I29" s="12"/>
      <c r="J29" s="15" t="str">
        <f aca="false">IF(D29="","",IF(E29="Mensal",D29,IF(E29="Anual",D29/12,0)))</f>
        <v/>
      </c>
      <c r="K29" s="12"/>
    </row>
    <row r="30" customFormat="false" ht="15" hidden="false" customHeight="false" outlineLevel="0" collapsed="false">
      <c r="A30" s="12"/>
      <c r="B30" s="12"/>
      <c r="C30" s="12"/>
      <c r="D30" s="13"/>
      <c r="E30" s="12"/>
      <c r="F30" s="14"/>
      <c r="G30" s="14"/>
      <c r="H30" s="12"/>
      <c r="I30" s="12"/>
      <c r="J30" s="15" t="str">
        <f aca="false">IF(D30="","",IF(E30="Mensal",D30,IF(E30="Anual",D30/12,0)))</f>
        <v/>
      </c>
      <c r="K30" s="12"/>
    </row>
    <row r="31" customFormat="false" ht="15" hidden="false" customHeight="false" outlineLevel="0" collapsed="false">
      <c r="A31" s="12"/>
      <c r="B31" s="12"/>
      <c r="C31" s="12"/>
      <c r="D31" s="13"/>
      <c r="E31" s="12"/>
      <c r="F31" s="14"/>
      <c r="G31" s="14"/>
      <c r="H31" s="12"/>
      <c r="I31" s="12"/>
      <c r="J31" s="15" t="str">
        <f aca="false">IF(D31="","",IF(E31="Mensal",D31,IF(E31="Anual",D31/12,0)))</f>
        <v/>
      </c>
      <c r="K31" s="12"/>
    </row>
    <row r="32" customFormat="false" ht="15" hidden="false" customHeight="false" outlineLevel="0" collapsed="false">
      <c r="A32" s="12"/>
      <c r="B32" s="12"/>
      <c r="C32" s="12"/>
      <c r="D32" s="13"/>
      <c r="E32" s="12"/>
      <c r="F32" s="14"/>
      <c r="G32" s="14"/>
      <c r="H32" s="12"/>
      <c r="I32" s="12"/>
      <c r="J32" s="15" t="str">
        <f aca="false">IF(D32="","",IF(E32="Mensal",D32,IF(E32="Anual",D32/12,0)))</f>
        <v/>
      </c>
      <c r="K32" s="12"/>
    </row>
    <row r="33" customFormat="false" ht="15" hidden="false" customHeight="false" outlineLevel="0" collapsed="false">
      <c r="A33" s="12"/>
      <c r="B33" s="12"/>
      <c r="C33" s="12"/>
      <c r="D33" s="13"/>
      <c r="E33" s="12"/>
      <c r="F33" s="14"/>
      <c r="G33" s="14"/>
      <c r="H33" s="12"/>
      <c r="I33" s="12"/>
      <c r="J33" s="15" t="str">
        <f aca="false">IF(D33="","",IF(E33="Mensal",D33,IF(E33="Anual",D33/12,0)))</f>
        <v/>
      </c>
      <c r="K33" s="12"/>
    </row>
    <row r="34" customFormat="false" ht="15" hidden="false" customHeight="false" outlineLevel="0" collapsed="false">
      <c r="A34" s="12"/>
      <c r="B34" s="12"/>
      <c r="C34" s="12"/>
      <c r="D34" s="13"/>
      <c r="E34" s="12"/>
      <c r="F34" s="14"/>
      <c r="G34" s="14"/>
      <c r="H34" s="12"/>
      <c r="I34" s="12"/>
      <c r="J34" s="15" t="str">
        <f aca="false">IF(D34="","",IF(E34="Mensal",D34,IF(E34="Anual",D34/12,0)))</f>
        <v/>
      </c>
      <c r="K34" s="12"/>
    </row>
    <row r="35" customFormat="false" ht="15" hidden="false" customHeight="false" outlineLevel="0" collapsed="false">
      <c r="A35" s="12"/>
      <c r="B35" s="12"/>
      <c r="C35" s="12"/>
      <c r="D35" s="13"/>
      <c r="E35" s="12"/>
      <c r="F35" s="14"/>
      <c r="G35" s="14"/>
      <c r="H35" s="12"/>
      <c r="I35" s="12"/>
      <c r="J35" s="15" t="str">
        <f aca="false">IF(D35="","",IF(E35="Mensal",D35,IF(E35="Anual",D35/12,0)))</f>
        <v/>
      </c>
      <c r="K35" s="12"/>
    </row>
    <row r="36" customFormat="false" ht="15" hidden="false" customHeight="false" outlineLevel="0" collapsed="false">
      <c r="A36" s="12"/>
      <c r="B36" s="12"/>
      <c r="C36" s="12"/>
      <c r="D36" s="13"/>
      <c r="E36" s="12"/>
      <c r="F36" s="14"/>
      <c r="G36" s="14"/>
      <c r="H36" s="12"/>
      <c r="I36" s="12"/>
      <c r="J36" s="15" t="str">
        <f aca="false">IF(D36="","",IF(E36="Mensal",D36,IF(E36="Anual",D36/12,0)))</f>
        <v/>
      </c>
      <c r="K36" s="12"/>
    </row>
    <row r="37" customFormat="false" ht="15" hidden="false" customHeight="false" outlineLevel="0" collapsed="false">
      <c r="A37" s="12"/>
      <c r="B37" s="12"/>
      <c r="C37" s="12"/>
      <c r="D37" s="13"/>
      <c r="E37" s="12"/>
      <c r="F37" s="14"/>
      <c r="G37" s="14"/>
      <c r="H37" s="12"/>
      <c r="I37" s="12"/>
      <c r="J37" s="15" t="str">
        <f aca="false">IF(D37="","",IF(E37="Mensal",D37,IF(E37="Anual",D37/12,0)))</f>
        <v/>
      </c>
      <c r="K37" s="12"/>
    </row>
    <row r="38" customFormat="false" ht="15" hidden="false" customHeight="false" outlineLevel="0" collapsed="false">
      <c r="A38" s="12"/>
      <c r="B38" s="12"/>
      <c r="C38" s="12"/>
      <c r="D38" s="13"/>
      <c r="E38" s="12"/>
      <c r="F38" s="14"/>
      <c r="G38" s="14"/>
      <c r="H38" s="12"/>
      <c r="I38" s="12"/>
      <c r="J38" s="15" t="str">
        <f aca="false">IF(D38="","",IF(E38="Mensal",D38,IF(E38="Anual",D38/12,0)))</f>
        <v/>
      </c>
      <c r="K38" s="12"/>
    </row>
    <row r="39" customFormat="false" ht="15" hidden="false" customHeight="false" outlineLevel="0" collapsed="false">
      <c r="A39" s="12"/>
      <c r="B39" s="12"/>
      <c r="C39" s="12"/>
      <c r="D39" s="13"/>
      <c r="E39" s="12"/>
      <c r="F39" s="14"/>
      <c r="G39" s="14"/>
      <c r="H39" s="12"/>
      <c r="I39" s="12"/>
      <c r="J39" s="15" t="str">
        <f aca="false">IF(D39="","",IF(E39="Mensal",D39,IF(E39="Anual",D39/12,0)))</f>
        <v/>
      </c>
      <c r="K39" s="12"/>
    </row>
    <row r="40" customFormat="false" ht="15" hidden="false" customHeight="false" outlineLevel="0" collapsed="false">
      <c r="A40" s="12"/>
      <c r="B40" s="12"/>
      <c r="C40" s="12"/>
      <c r="D40" s="13"/>
      <c r="E40" s="12"/>
      <c r="F40" s="14"/>
      <c r="G40" s="14"/>
      <c r="H40" s="12"/>
      <c r="I40" s="12"/>
      <c r="J40" s="15" t="str">
        <f aca="false">IF(D40="","",IF(E40="Mensal",D40,IF(E40="Anual",D40/12,0)))</f>
        <v/>
      </c>
      <c r="K40" s="12"/>
    </row>
    <row r="41" customFormat="false" ht="15" hidden="false" customHeight="false" outlineLevel="0" collapsed="false">
      <c r="A41" s="12"/>
      <c r="B41" s="12"/>
      <c r="C41" s="12"/>
      <c r="D41" s="13"/>
      <c r="E41" s="12"/>
      <c r="F41" s="14"/>
      <c r="G41" s="14"/>
      <c r="H41" s="12"/>
      <c r="I41" s="12"/>
      <c r="J41" s="15" t="str">
        <f aca="false">IF(D41="","",IF(E41="Mensal",D41,IF(E41="Anual",D41/12,0)))</f>
        <v/>
      </c>
      <c r="K41" s="12"/>
    </row>
    <row r="42" customFormat="false" ht="15" hidden="false" customHeight="false" outlineLevel="0" collapsed="false">
      <c r="A42" s="12"/>
      <c r="B42" s="12"/>
      <c r="C42" s="12"/>
      <c r="D42" s="13"/>
      <c r="E42" s="12"/>
      <c r="F42" s="14"/>
      <c r="G42" s="14"/>
      <c r="H42" s="12"/>
      <c r="I42" s="12"/>
      <c r="J42" s="15" t="str">
        <f aca="false">IF(D42="","",IF(E42="Mensal",D42,IF(E42="Anual",D42/12,0)))</f>
        <v/>
      </c>
      <c r="K42" s="12"/>
    </row>
    <row r="43" customFormat="false" ht="15" hidden="false" customHeight="false" outlineLevel="0" collapsed="false">
      <c r="A43" s="12"/>
      <c r="B43" s="12"/>
      <c r="C43" s="12"/>
      <c r="D43" s="13"/>
      <c r="E43" s="12"/>
      <c r="F43" s="14"/>
      <c r="G43" s="14"/>
      <c r="H43" s="12"/>
      <c r="I43" s="12"/>
      <c r="J43" s="15" t="str">
        <f aca="false">IF(D43="","",IF(E43="Mensal",D43,IF(E43="Anual",D43/12,0)))</f>
        <v/>
      </c>
      <c r="K43" s="12"/>
    </row>
    <row r="44" customFormat="false" ht="15" hidden="false" customHeight="false" outlineLevel="0" collapsed="false">
      <c r="A44" s="12"/>
      <c r="B44" s="12"/>
      <c r="C44" s="12"/>
      <c r="D44" s="13"/>
      <c r="E44" s="12"/>
      <c r="F44" s="14"/>
      <c r="G44" s="14"/>
      <c r="H44" s="12"/>
      <c r="I44" s="12"/>
      <c r="J44" s="15" t="str">
        <f aca="false">IF(D44="","",IF(E44="Mensal",D44,IF(E44="Anual",D44/12,0)))</f>
        <v/>
      </c>
      <c r="K44" s="12"/>
    </row>
    <row r="45" customFormat="false" ht="15" hidden="false" customHeight="false" outlineLevel="0" collapsed="false">
      <c r="A45" s="12"/>
      <c r="B45" s="12"/>
      <c r="C45" s="12"/>
      <c r="D45" s="13"/>
      <c r="E45" s="12"/>
      <c r="F45" s="14"/>
      <c r="G45" s="14"/>
      <c r="H45" s="12"/>
      <c r="I45" s="12"/>
      <c r="J45" s="15" t="str">
        <f aca="false">IF(D45="","",IF(E45="Mensal",D45,IF(E45="Anual",D45/12,0)))</f>
        <v/>
      </c>
      <c r="K45" s="12"/>
    </row>
    <row r="46" customFormat="false" ht="15" hidden="false" customHeight="false" outlineLevel="0" collapsed="false">
      <c r="A46" s="12"/>
      <c r="B46" s="12"/>
      <c r="C46" s="12"/>
      <c r="D46" s="13"/>
      <c r="E46" s="12"/>
      <c r="F46" s="14"/>
      <c r="G46" s="14"/>
      <c r="H46" s="12"/>
      <c r="I46" s="12"/>
      <c r="J46" s="15" t="str">
        <f aca="false">IF(D46="","",IF(E46="Mensal",D46,IF(E46="Anual",D46/12,0)))</f>
        <v/>
      </c>
      <c r="K46" s="12"/>
    </row>
    <row r="47" customFormat="false" ht="15" hidden="false" customHeight="false" outlineLevel="0" collapsed="false">
      <c r="A47" s="12"/>
      <c r="B47" s="12"/>
      <c r="C47" s="12"/>
      <c r="D47" s="13"/>
      <c r="E47" s="12"/>
      <c r="F47" s="14"/>
      <c r="G47" s="14"/>
      <c r="H47" s="12"/>
      <c r="I47" s="12"/>
      <c r="J47" s="15" t="str">
        <f aca="false">IF(D47="","",IF(E47="Mensal",D47,IF(E47="Anual",D47/12,0)))</f>
        <v/>
      </c>
      <c r="K47" s="12"/>
    </row>
    <row r="48" customFormat="false" ht="15" hidden="false" customHeight="false" outlineLevel="0" collapsed="false">
      <c r="A48" s="12"/>
      <c r="B48" s="12"/>
      <c r="C48" s="12"/>
      <c r="D48" s="13"/>
      <c r="E48" s="12"/>
      <c r="F48" s="14"/>
      <c r="G48" s="14"/>
      <c r="H48" s="12"/>
      <c r="I48" s="12"/>
      <c r="J48" s="15" t="str">
        <f aca="false">IF(D48="","",IF(E48="Mensal",D48,IF(E48="Anual",D48/12,0)))</f>
        <v/>
      </c>
      <c r="K48" s="12"/>
    </row>
    <row r="49" customFormat="false" ht="15" hidden="false" customHeight="false" outlineLevel="0" collapsed="false">
      <c r="A49" s="12"/>
      <c r="B49" s="12"/>
      <c r="C49" s="12"/>
      <c r="D49" s="13"/>
      <c r="E49" s="12"/>
      <c r="F49" s="14"/>
      <c r="G49" s="14"/>
      <c r="H49" s="12"/>
      <c r="I49" s="12"/>
      <c r="J49" s="15" t="str">
        <f aca="false">IF(D49="","",IF(E49="Mensal",D49,IF(E49="Anual",D49/12,0)))</f>
        <v/>
      </c>
      <c r="K49" s="12"/>
    </row>
    <row r="50" customFormat="false" ht="15" hidden="false" customHeight="false" outlineLevel="0" collapsed="false">
      <c r="A50" s="12"/>
      <c r="B50" s="12"/>
      <c r="C50" s="12"/>
      <c r="D50" s="13"/>
      <c r="E50" s="12"/>
      <c r="F50" s="14"/>
      <c r="G50" s="14"/>
      <c r="H50" s="12"/>
      <c r="I50" s="12"/>
      <c r="J50" s="15" t="str">
        <f aca="false">IF(D50="","",IF(E50="Mensal",D50,IF(E50="Anual",D50/12,0)))</f>
        <v/>
      </c>
      <c r="K50" s="12"/>
    </row>
    <row r="51" customFormat="false" ht="15" hidden="false" customHeight="false" outlineLevel="0" collapsed="false">
      <c r="A51" s="12"/>
      <c r="B51" s="12"/>
      <c r="C51" s="12"/>
      <c r="D51" s="13"/>
      <c r="E51" s="12"/>
      <c r="F51" s="14"/>
      <c r="G51" s="14"/>
      <c r="H51" s="12"/>
      <c r="I51" s="12"/>
      <c r="J51" s="15" t="str">
        <f aca="false">IF(D51="","",IF(E51="Mensal",D51,IF(E51="Anual",D51/12,0)))</f>
        <v/>
      </c>
      <c r="K51" s="12"/>
    </row>
    <row r="52" customFormat="false" ht="15" hidden="false" customHeight="false" outlineLevel="0" collapsed="false">
      <c r="A52" s="12"/>
      <c r="B52" s="12"/>
      <c r="C52" s="12"/>
      <c r="D52" s="13"/>
      <c r="E52" s="12"/>
      <c r="F52" s="14"/>
      <c r="G52" s="14"/>
      <c r="H52" s="12"/>
      <c r="I52" s="12"/>
      <c r="J52" s="15" t="str">
        <f aca="false">IF(D52="","",IF(E52="Mensal",D52,IF(E52="Anual",D52/12,0)))</f>
        <v/>
      </c>
      <c r="K52" s="12"/>
    </row>
    <row r="53" customFormat="false" ht="15" hidden="false" customHeight="false" outlineLevel="0" collapsed="false">
      <c r="A53" s="12"/>
      <c r="B53" s="12"/>
      <c r="C53" s="12"/>
      <c r="D53" s="13"/>
      <c r="E53" s="12"/>
      <c r="F53" s="14"/>
      <c r="G53" s="14"/>
      <c r="H53" s="12"/>
      <c r="I53" s="12"/>
      <c r="J53" s="15" t="str">
        <f aca="false">IF(D53="","",IF(E53="Mensal",D53,IF(E53="Anual",D53/12,0)))</f>
        <v/>
      </c>
      <c r="K53" s="12"/>
    </row>
    <row r="54" customFormat="false" ht="15" hidden="false" customHeight="false" outlineLevel="0" collapsed="false">
      <c r="A54" s="12"/>
      <c r="B54" s="12"/>
      <c r="C54" s="12"/>
      <c r="D54" s="13"/>
      <c r="E54" s="12"/>
      <c r="F54" s="14"/>
      <c r="G54" s="14"/>
      <c r="H54" s="12"/>
      <c r="I54" s="12"/>
      <c r="J54" s="15" t="str">
        <f aca="false">IF(D54="","",IF(E54="Mensal",D54,IF(E54="Anual",D54/12,0)))</f>
        <v/>
      </c>
      <c r="K54" s="12"/>
    </row>
    <row r="55" customFormat="false" ht="15" hidden="false" customHeight="false" outlineLevel="0" collapsed="false">
      <c r="A55" s="12"/>
      <c r="B55" s="12"/>
      <c r="C55" s="12"/>
      <c r="D55" s="13"/>
      <c r="E55" s="12"/>
      <c r="F55" s="14"/>
      <c r="G55" s="14"/>
      <c r="H55" s="12"/>
      <c r="I55" s="12"/>
      <c r="J55" s="15" t="str">
        <f aca="false">IF(D55="","",IF(E55="Mensal",D55,IF(E55="Anual",D55/12,0)))</f>
        <v/>
      </c>
      <c r="K55" s="12"/>
    </row>
    <row r="56" customFormat="false" ht="15" hidden="false" customHeight="false" outlineLevel="0" collapsed="false">
      <c r="A56" s="12"/>
      <c r="B56" s="12"/>
      <c r="C56" s="12"/>
      <c r="D56" s="13"/>
      <c r="E56" s="12"/>
      <c r="F56" s="14"/>
      <c r="G56" s="14"/>
      <c r="H56" s="12"/>
      <c r="I56" s="12"/>
      <c r="J56" s="15" t="str">
        <f aca="false">IF(D56="","",IF(E56="Mensal",D56,IF(E56="Anual",D56/12,0)))</f>
        <v/>
      </c>
      <c r="K56" s="12"/>
    </row>
    <row r="57" customFormat="false" ht="15" hidden="false" customHeight="false" outlineLevel="0" collapsed="false">
      <c r="A57" s="12"/>
      <c r="B57" s="12"/>
      <c r="C57" s="12"/>
      <c r="D57" s="13"/>
      <c r="E57" s="12"/>
      <c r="F57" s="14"/>
      <c r="G57" s="14"/>
      <c r="H57" s="12"/>
      <c r="I57" s="12"/>
      <c r="J57" s="15" t="str">
        <f aca="false">IF(D57="","",IF(E57="Mensal",D57,IF(E57="Anual",D57/12,0)))</f>
        <v/>
      </c>
      <c r="K57" s="12"/>
    </row>
    <row r="58" customFormat="false" ht="15" hidden="false" customHeight="false" outlineLevel="0" collapsed="false">
      <c r="A58" s="12"/>
      <c r="B58" s="12"/>
      <c r="C58" s="12"/>
      <c r="D58" s="13"/>
      <c r="E58" s="12"/>
      <c r="F58" s="14"/>
      <c r="G58" s="14"/>
      <c r="H58" s="12"/>
      <c r="I58" s="12"/>
      <c r="J58" s="15" t="str">
        <f aca="false">IF(D58="","",IF(E58="Mensal",D58,IF(E58="Anual",D58/12,0)))</f>
        <v/>
      </c>
      <c r="K58" s="12"/>
    </row>
    <row r="59" customFormat="false" ht="15" hidden="false" customHeight="false" outlineLevel="0" collapsed="false">
      <c r="A59" s="12"/>
      <c r="B59" s="12"/>
      <c r="C59" s="12"/>
      <c r="D59" s="13"/>
      <c r="E59" s="12"/>
      <c r="F59" s="14"/>
      <c r="G59" s="14"/>
      <c r="H59" s="12"/>
      <c r="I59" s="12"/>
      <c r="J59" s="15" t="str">
        <f aca="false">IF(D59="","",IF(E59="Mensal",D59,IF(E59="Anual",D59/12,0)))</f>
        <v/>
      </c>
      <c r="K59" s="12"/>
    </row>
    <row r="60" customFormat="false" ht="15" hidden="false" customHeight="false" outlineLevel="0" collapsed="false">
      <c r="A60" s="12"/>
      <c r="B60" s="12"/>
      <c r="C60" s="12"/>
      <c r="D60" s="13"/>
      <c r="E60" s="12"/>
      <c r="F60" s="14"/>
      <c r="G60" s="14"/>
      <c r="H60" s="12"/>
      <c r="I60" s="12"/>
      <c r="J60" s="15" t="str">
        <f aca="false">IF(D60="","",IF(E60="Mensal",D60,IF(E60="Anual",D60/12,0)))</f>
        <v/>
      </c>
      <c r="K60" s="12"/>
    </row>
    <row r="61" customFormat="false" ht="15" hidden="false" customHeight="false" outlineLevel="0" collapsed="false">
      <c r="A61" s="12"/>
      <c r="B61" s="12"/>
      <c r="C61" s="12"/>
      <c r="D61" s="13"/>
      <c r="E61" s="12"/>
      <c r="F61" s="14"/>
      <c r="G61" s="14"/>
      <c r="H61" s="12"/>
      <c r="I61" s="12"/>
      <c r="J61" s="15" t="str">
        <f aca="false">IF(D61="","",IF(E61="Mensal",D61,IF(E61="Anual",D61/12,0)))</f>
        <v/>
      </c>
      <c r="K61" s="12"/>
    </row>
  </sheetData>
  <dataValidations count="5">
    <dataValidation allowBlank="true" errorStyle="stop" operator="between" showDropDown="false" showErrorMessage="false" showInputMessage="false" sqref="C2:C61" type="list">
      <formula1>"Fixa,Variável"</formula1>
      <formula2>0</formula2>
    </dataValidation>
    <dataValidation allowBlank="true" errorStyle="stop" operator="between" showDropDown="false" showErrorMessage="false" showInputMessage="false" sqref="E2:E61" type="list">
      <formula1>"Mensal,Anual,Única"</formula1>
      <formula2>0</formula2>
    </dataValidation>
    <dataValidation allowBlank="true" errorStyle="stop" operator="between" showDropDown="false" showErrorMessage="false" showInputMessage="false" sqref="H2:H61" type="list">
      <formula1>"Sim,Não"</formula1>
      <formula2>0</formula2>
    </dataValidation>
    <dataValidation allowBlank="true" errorStyle="stop" operator="between" showDropDown="false" showErrorMessage="false" showInputMessage="false" sqref="I2:I61" type="list">
      <formula1>"Rodrigo,Esposa,Conta conjunta"</formula1>
      <formula2>0</formula2>
    </dataValidation>
    <dataValidation allowBlank="true" errorStyle="stop" operator="between" showDropDown="false" showErrorMessage="false" showInputMessage="false" sqref="K2:K61" type="list">
      <formula1>Cartões!$A$2:$A$31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1" t="s">
        <v>35</v>
      </c>
      <c r="B1" s="11" t="s">
        <v>36</v>
      </c>
      <c r="C1" s="11" t="s">
        <v>17</v>
      </c>
      <c r="D1" s="11" t="s">
        <v>93</v>
      </c>
      <c r="E1" s="11" t="s">
        <v>94</v>
      </c>
      <c r="F1" s="11" t="s">
        <v>95</v>
      </c>
      <c r="G1" s="11" t="s">
        <v>96</v>
      </c>
      <c r="H1" s="11" t="s">
        <v>97</v>
      </c>
      <c r="I1" s="11" t="s">
        <v>54</v>
      </c>
    </row>
    <row r="2" customFormat="false" ht="15" hidden="false" customHeight="false" outlineLevel="0" collapsed="false">
      <c r="A2" s="12" t="s">
        <v>98</v>
      </c>
      <c r="B2" s="12" t="s">
        <v>75</v>
      </c>
      <c r="C2" s="12" t="s">
        <v>79</v>
      </c>
      <c r="D2" s="13" t="n">
        <v>450</v>
      </c>
      <c r="E2" s="12" t="n">
        <v>7</v>
      </c>
      <c r="F2" s="14" t="n">
        <v>46331</v>
      </c>
      <c r="G2" s="15" t="n">
        <f aca="false">IF(D2="","",D2*E2)</f>
        <v>3150</v>
      </c>
      <c r="H2" s="18" t="n">
        <f aca="false">IF(OR(F2="",E2=""),"",EDATE(F2,E2-1))</f>
        <v>46512</v>
      </c>
      <c r="I2" s="12" t="s">
        <v>58</v>
      </c>
    </row>
    <row r="3" customFormat="false" ht="15" hidden="false" customHeight="false" outlineLevel="0" collapsed="false">
      <c r="A3" s="12" t="s">
        <v>99</v>
      </c>
      <c r="B3" s="12" t="s">
        <v>100</v>
      </c>
      <c r="C3" s="12" t="s">
        <v>101</v>
      </c>
      <c r="D3" s="13" t="n">
        <v>320</v>
      </c>
      <c r="E3" s="12" t="n">
        <v>3</v>
      </c>
      <c r="F3" s="14" t="n">
        <v>46336</v>
      </c>
      <c r="G3" s="15" t="n">
        <f aca="false">IF(D3="","",D3*E3)</f>
        <v>960</v>
      </c>
      <c r="H3" s="18" t="n">
        <f aca="false">IF(OR(F3="",E3=""),"",EDATE(F3,E3-1))</f>
        <v>46397</v>
      </c>
      <c r="I3" s="12"/>
    </row>
    <row r="4" customFormat="false" ht="15" hidden="false" customHeight="false" outlineLevel="0" collapsed="false">
      <c r="A4" s="12" t="s">
        <v>102</v>
      </c>
      <c r="B4" s="12" t="s">
        <v>103</v>
      </c>
      <c r="C4" s="12" t="s">
        <v>81</v>
      </c>
      <c r="D4" s="13" t="n">
        <v>280</v>
      </c>
      <c r="E4" s="12" t="n">
        <v>10</v>
      </c>
      <c r="F4" s="14" t="n">
        <v>46341</v>
      </c>
      <c r="G4" s="15" t="n">
        <f aca="false">IF(D4="","",D4*E4)</f>
        <v>2800</v>
      </c>
      <c r="H4" s="18" t="n">
        <f aca="false">IF(OR(F4="",E4=""),"",EDATE(F4,E4-1))</f>
        <v>46614</v>
      </c>
      <c r="I4" s="12" t="s">
        <v>70</v>
      </c>
    </row>
    <row r="5" customFormat="false" ht="15" hidden="false" customHeight="false" outlineLevel="0" collapsed="false">
      <c r="A5" s="12"/>
      <c r="B5" s="12"/>
      <c r="C5" s="12"/>
      <c r="D5" s="13"/>
      <c r="E5" s="12"/>
      <c r="F5" s="14"/>
      <c r="G5" s="15" t="str">
        <f aca="false">IF(D5="","",D5*E5)</f>
        <v/>
      </c>
      <c r="H5" s="18" t="str">
        <f aca="false">IF(OR(F5="",E5=""),"",EDATE(F5,E5-1))</f>
        <v/>
      </c>
      <c r="I5" s="12"/>
    </row>
    <row r="6" customFormat="false" ht="15" hidden="false" customHeight="false" outlineLevel="0" collapsed="false">
      <c r="A6" s="12"/>
      <c r="B6" s="12"/>
      <c r="C6" s="12"/>
      <c r="D6" s="13"/>
      <c r="E6" s="12"/>
      <c r="F6" s="14"/>
      <c r="G6" s="15" t="str">
        <f aca="false">IF(D6="","",D6*E6)</f>
        <v/>
      </c>
      <c r="H6" s="18" t="str">
        <f aca="false">IF(OR(F6="",E6=""),"",EDATE(F6,E6-1))</f>
        <v/>
      </c>
      <c r="I6" s="12"/>
    </row>
    <row r="7" customFormat="false" ht="15" hidden="false" customHeight="false" outlineLevel="0" collapsed="false">
      <c r="A7" s="12"/>
      <c r="B7" s="12"/>
      <c r="C7" s="12"/>
      <c r="D7" s="13"/>
      <c r="E7" s="12"/>
      <c r="F7" s="14"/>
      <c r="G7" s="15" t="str">
        <f aca="false">IF(D7="","",D7*E7)</f>
        <v/>
      </c>
      <c r="H7" s="18" t="str">
        <f aca="false">IF(OR(F7="",E7=""),"",EDATE(F7,E7-1))</f>
        <v/>
      </c>
      <c r="I7" s="12"/>
    </row>
    <row r="8" customFormat="false" ht="15" hidden="false" customHeight="false" outlineLevel="0" collapsed="false">
      <c r="A8" s="12"/>
      <c r="B8" s="12"/>
      <c r="C8" s="12"/>
      <c r="D8" s="13"/>
      <c r="E8" s="12"/>
      <c r="F8" s="14"/>
      <c r="G8" s="15" t="str">
        <f aca="false">IF(D8="","",D8*E8)</f>
        <v/>
      </c>
      <c r="H8" s="18" t="str">
        <f aca="false">IF(OR(F8="",E8=""),"",EDATE(F8,E8-1))</f>
        <v/>
      </c>
      <c r="I8" s="12"/>
    </row>
    <row r="9" customFormat="false" ht="15" hidden="false" customHeight="false" outlineLevel="0" collapsed="false">
      <c r="A9" s="12"/>
      <c r="B9" s="12"/>
      <c r="C9" s="12"/>
      <c r="D9" s="13"/>
      <c r="E9" s="12"/>
      <c r="F9" s="14"/>
      <c r="G9" s="15" t="str">
        <f aca="false">IF(D9="","",D9*E9)</f>
        <v/>
      </c>
      <c r="H9" s="18" t="str">
        <f aca="false">IF(OR(F9="",E9=""),"",EDATE(F9,E9-1))</f>
        <v/>
      </c>
      <c r="I9" s="12"/>
    </row>
    <row r="10" customFormat="false" ht="15" hidden="false" customHeight="false" outlineLevel="0" collapsed="false">
      <c r="A10" s="12"/>
      <c r="B10" s="12"/>
      <c r="C10" s="12"/>
      <c r="D10" s="13"/>
      <c r="E10" s="12"/>
      <c r="F10" s="14"/>
      <c r="G10" s="15" t="str">
        <f aca="false">IF(D10="","",D10*E10)</f>
        <v/>
      </c>
      <c r="H10" s="18" t="str">
        <f aca="false">IF(OR(F10="",E10=""),"",EDATE(F10,E10-1))</f>
        <v/>
      </c>
      <c r="I10" s="12"/>
    </row>
    <row r="11" customFormat="false" ht="15" hidden="false" customHeight="false" outlineLevel="0" collapsed="false">
      <c r="A11" s="12"/>
      <c r="B11" s="12"/>
      <c r="C11" s="12"/>
      <c r="D11" s="13"/>
      <c r="E11" s="12"/>
      <c r="F11" s="14"/>
      <c r="G11" s="15" t="str">
        <f aca="false">IF(D11="","",D11*E11)</f>
        <v/>
      </c>
      <c r="H11" s="18" t="str">
        <f aca="false">IF(OR(F11="",E11=""),"",EDATE(F11,E11-1))</f>
        <v/>
      </c>
      <c r="I11" s="12"/>
    </row>
    <row r="12" customFormat="false" ht="15" hidden="false" customHeight="false" outlineLevel="0" collapsed="false">
      <c r="A12" s="12"/>
      <c r="B12" s="12"/>
      <c r="C12" s="12"/>
      <c r="D12" s="13"/>
      <c r="E12" s="12"/>
      <c r="F12" s="14"/>
      <c r="G12" s="15" t="str">
        <f aca="false">IF(D12="","",D12*E12)</f>
        <v/>
      </c>
      <c r="H12" s="18" t="str">
        <f aca="false">IF(OR(F12="",E12=""),"",EDATE(F12,E12-1))</f>
        <v/>
      </c>
      <c r="I12" s="12"/>
    </row>
    <row r="13" customFormat="false" ht="15" hidden="false" customHeight="false" outlineLevel="0" collapsed="false">
      <c r="A13" s="12"/>
      <c r="B13" s="12"/>
      <c r="C13" s="12"/>
      <c r="D13" s="13"/>
      <c r="E13" s="12"/>
      <c r="F13" s="14"/>
      <c r="G13" s="15" t="str">
        <f aca="false">IF(D13="","",D13*E13)</f>
        <v/>
      </c>
      <c r="H13" s="18" t="str">
        <f aca="false">IF(OR(F13="",E13=""),"",EDATE(F13,E13-1))</f>
        <v/>
      </c>
      <c r="I13" s="12"/>
    </row>
    <row r="14" customFormat="false" ht="15" hidden="false" customHeight="false" outlineLevel="0" collapsed="false">
      <c r="A14" s="12"/>
      <c r="B14" s="12"/>
      <c r="C14" s="12"/>
      <c r="D14" s="13"/>
      <c r="E14" s="12"/>
      <c r="F14" s="14"/>
      <c r="G14" s="15" t="str">
        <f aca="false">IF(D14="","",D14*E14)</f>
        <v/>
      </c>
      <c r="H14" s="18" t="str">
        <f aca="false">IF(OR(F14="",E14=""),"",EDATE(F14,E14-1))</f>
        <v/>
      </c>
      <c r="I14" s="12"/>
    </row>
    <row r="15" customFormat="false" ht="15" hidden="false" customHeight="false" outlineLevel="0" collapsed="false">
      <c r="A15" s="12"/>
      <c r="B15" s="12"/>
      <c r="C15" s="12"/>
      <c r="D15" s="13"/>
      <c r="E15" s="12"/>
      <c r="F15" s="14"/>
      <c r="G15" s="15" t="str">
        <f aca="false">IF(D15="","",D15*E15)</f>
        <v/>
      </c>
      <c r="H15" s="18" t="str">
        <f aca="false">IF(OR(F15="",E15=""),"",EDATE(F15,E15-1))</f>
        <v/>
      </c>
      <c r="I15" s="12"/>
    </row>
    <row r="16" customFormat="false" ht="15" hidden="false" customHeight="false" outlineLevel="0" collapsed="false">
      <c r="A16" s="12"/>
      <c r="B16" s="12"/>
      <c r="C16" s="12"/>
      <c r="D16" s="13"/>
      <c r="E16" s="12"/>
      <c r="F16" s="14"/>
      <c r="G16" s="15" t="str">
        <f aca="false">IF(D16="","",D16*E16)</f>
        <v/>
      </c>
      <c r="H16" s="18" t="str">
        <f aca="false">IF(OR(F16="",E16=""),"",EDATE(F16,E16-1))</f>
        <v/>
      </c>
      <c r="I16" s="12"/>
    </row>
    <row r="17" customFormat="false" ht="15" hidden="false" customHeight="false" outlineLevel="0" collapsed="false">
      <c r="A17" s="12"/>
      <c r="B17" s="12"/>
      <c r="C17" s="12"/>
      <c r="D17" s="13"/>
      <c r="E17" s="12"/>
      <c r="F17" s="14"/>
      <c r="G17" s="15" t="str">
        <f aca="false">IF(D17="","",D17*E17)</f>
        <v/>
      </c>
      <c r="H17" s="18" t="str">
        <f aca="false">IF(OR(F17="",E17=""),"",EDATE(F17,E17-1))</f>
        <v/>
      </c>
      <c r="I17" s="12"/>
    </row>
    <row r="18" customFormat="false" ht="15" hidden="false" customHeight="false" outlineLevel="0" collapsed="false">
      <c r="A18" s="12"/>
      <c r="B18" s="12"/>
      <c r="C18" s="12"/>
      <c r="D18" s="13"/>
      <c r="E18" s="12"/>
      <c r="F18" s="14"/>
      <c r="G18" s="15" t="str">
        <f aca="false">IF(D18="","",D18*E18)</f>
        <v/>
      </c>
      <c r="H18" s="18" t="str">
        <f aca="false">IF(OR(F18="",E18=""),"",EDATE(F18,E18-1))</f>
        <v/>
      </c>
      <c r="I18" s="12"/>
    </row>
    <row r="19" customFormat="false" ht="15" hidden="false" customHeight="false" outlineLevel="0" collapsed="false">
      <c r="A19" s="12"/>
      <c r="B19" s="12"/>
      <c r="C19" s="12"/>
      <c r="D19" s="13"/>
      <c r="E19" s="12"/>
      <c r="F19" s="14"/>
      <c r="G19" s="15" t="str">
        <f aca="false">IF(D19="","",D19*E19)</f>
        <v/>
      </c>
      <c r="H19" s="18" t="str">
        <f aca="false">IF(OR(F19="",E19=""),"",EDATE(F19,E19-1))</f>
        <v/>
      </c>
      <c r="I19" s="12"/>
    </row>
    <row r="20" customFormat="false" ht="15" hidden="false" customHeight="false" outlineLevel="0" collapsed="false">
      <c r="A20" s="12"/>
      <c r="B20" s="12"/>
      <c r="C20" s="12"/>
      <c r="D20" s="13"/>
      <c r="E20" s="12"/>
      <c r="F20" s="14"/>
      <c r="G20" s="15" t="str">
        <f aca="false">IF(D20="","",D20*E20)</f>
        <v/>
      </c>
      <c r="H20" s="18" t="str">
        <f aca="false">IF(OR(F20="",E20=""),"",EDATE(F20,E20-1))</f>
        <v/>
      </c>
      <c r="I20" s="12"/>
    </row>
    <row r="21" customFormat="false" ht="15" hidden="false" customHeight="false" outlineLevel="0" collapsed="false">
      <c r="A21" s="12"/>
      <c r="B21" s="12"/>
      <c r="C21" s="12"/>
      <c r="D21" s="13"/>
      <c r="E21" s="12"/>
      <c r="F21" s="14"/>
      <c r="G21" s="15" t="str">
        <f aca="false">IF(D21="","",D21*E21)</f>
        <v/>
      </c>
      <c r="H21" s="18" t="str">
        <f aca="false">IF(OR(F21="",E21=""),"",EDATE(F21,E21-1))</f>
        <v/>
      </c>
      <c r="I21" s="12"/>
    </row>
    <row r="22" customFormat="false" ht="15" hidden="false" customHeight="false" outlineLevel="0" collapsed="false">
      <c r="A22" s="12"/>
      <c r="B22" s="12"/>
      <c r="C22" s="12"/>
      <c r="D22" s="13"/>
      <c r="E22" s="12"/>
      <c r="F22" s="14"/>
      <c r="G22" s="15" t="str">
        <f aca="false">IF(D22="","",D22*E22)</f>
        <v/>
      </c>
      <c r="H22" s="18" t="str">
        <f aca="false">IF(OR(F22="",E22=""),"",EDATE(F22,E22-1))</f>
        <v/>
      </c>
      <c r="I22" s="12"/>
    </row>
    <row r="23" customFormat="false" ht="15" hidden="false" customHeight="false" outlineLevel="0" collapsed="false">
      <c r="A23" s="12"/>
      <c r="B23" s="12"/>
      <c r="C23" s="12"/>
      <c r="D23" s="13"/>
      <c r="E23" s="12"/>
      <c r="F23" s="14"/>
      <c r="G23" s="15" t="str">
        <f aca="false">IF(D23="","",D23*E23)</f>
        <v/>
      </c>
      <c r="H23" s="18" t="str">
        <f aca="false">IF(OR(F23="",E23=""),"",EDATE(F23,E23-1))</f>
        <v/>
      </c>
      <c r="I23" s="12"/>
    </row>
    <row r="24" customFormat="false" ht="15" hidden="false" customHeight="false" outlineLevel="0" collapsed="false">
      <c r="A24" s="12"/>
      <c r="B24" s="12"/>
      <c r="C24" s="12"/>
      <c r="D24" s="13"/>
      <c r="E24" s="12"/>
      <c r="F24" s="14"/>
      <c r="G24" s="15" t="str">
        <f aca="false">IF(D24="","",D24*E24)</f>
        <v/>
      </c>
      <c r="H24" s="18" t="str">
        <f aca="false">IF(OR(F24="",E24=""),"",EDATE(F24,E24-1))</f>
        <v/>
      </c>
      <c r="I24" s="12"/>
    </row>
    <row r="25" customFormat="false" ht="15" hidden="false" customHeight="false" outlineLevel="0" collapsed="false">
      <c r="A25" s="12"/>
      <c r="B25" s="12"/>
      <c r="C25" s="12"/>
      <c r="D25" s="13"/>
      <c r="E25" s="12"/>
      <c r="F25" s="14"/>
      <c r="G25" s="15" t="str">
        <f aca="false">IF(D25="","",D25*E25)</f>
        <v/>
      </c>
      <c r="H25" s="18" t="str">
        <f aca="false">IF(OR(F25="",E25=""),"",EDATE(F25,E25-1))</f>
        <v/>
      </c>
      <c r="I25" s="12"/>
    </row>
    <row r="26" customFormat="false" ht="15" hidden="false" customHeight="false" outlineLevel="0" collapsed="false">
      <c r="A26" s="12"/>
      <c r="B26" s="12"/>
      <c r="C26" s="12"/>
      <c r="D26" s="13"/>
      <c r="E26" s="12"/>
      <c r="F26" s="14"/>
      <c r="G26" s="15" t="str">
        <f aca="false">IF(D26="","",D26*E26)</f>
        <v/>
      </c>
      <c r="H26" s="18" t="str">
        <f aca="false">IF(OR(F26="",E26=""),"",EDATE(F26,E26-1))</f>
        <v/>
      </c>
      <c r="I26" s="12"/>
    </row>
    <row r="27" customFormat="false" ht="15" hidden="false" customHeight="false" outlineLevel="0" collapsed="false">
      <c r="A27" s="12"/>
      <c r="B27" s="12"/>
      <c r="C27" s="12"/>
      <c r="D27" s="13"/>
      <c r="E27" s="12"/>
      <c r="F27" s="14"/>
      <c r="G27" s="15" t="str">
        <f aca="false">IF(D27="","",D27*E27)</f>
        <v/>
      </c>
      <c r="H27" s="18" t="str">
        <f aca="false">IF(OR(F27="",E27=""),"",EDATE(F27,E27-1))</f>
        <v/>
      </c>
      <c r="I27" s="12"/>
    </row>
    <row r="28" customFormat="false" ht="15" hidden="false" customHeight="false" outlineLevel="0" collapsed="false">
      <c r="A28" s="12"/>
      <c r="B28" s="12"/>
      <c r="C28" s="12"/>
      <c r="D28" s="13"/>
      <c r="E28" s="12"/>
      <c r="F28" s="14"/>
      <c r="G28" s="15" t="str">
        <f aca="false">IF(D28="","",D28*E28)</f>
        <v/>
      </c>
      <c r="H28" s="18" t="str">
        <f aca="false">IF(OR(F28="",E28=""),"",EDATE(F28,E28-1))</f>
        <v/>
      </c>
      <c r="I28" s="12"/>
    </row>
    <row r="29" customFormat="false" ht="15" hidden="false" customHeight="false" outlineLevel="0" collapsed="false">
      <c r="A29" s="12"/>
      <c r="B29" s="12"/>
      <c r="C29" s="12"/>
      <c r="D29" s="13"/>
      <c r="E29" s="12"/>
      <c r="F29" s="14"/>
      <c r="G29" s="15" t="str">
        <f aca="false">IF(D29="","",D29*E29)</f>
        <v/>
      </c>
      <c r="H29" s="18" t="str">
        <f aca="false">IF(OR(F29="",E29=""),"",EDATE(F29,E29-1))</f>
        <v/>
      </c>
      <c r="I29" s="12"/>
    </row>
    <row r="30" customFormat="false" ht="15" hidden="false" customHeight="false" outlineLevel="0" collapsed="false">
      <c r="A30" s="12"/>
      <c r="B30" s="12"/>
      <c r="C30" s="12"/>
      <c r="D30" s="13"/>
      <c r="E30" s="12"/>
      <c r="F30" s="14"/>
      <c r="G30" s="15" t="str">
        <f aca="false">IF(D30="","",D30*E30)</f>
        <v/>
      </c>
      <c r="H30" s="18" t="str">
        <f aca="false">IF(OR(F30="",E30=""),"",EDATE(F30,E30-1))</f>
        <v/>
      </c>
      <c r="I30" s="12"/>
    </row>
    <row r="31" customFormat="false" ht="15" hidden="false" customHeight="false" outlineLevel="0" collapsed="false">
      <c r="A31" s="12"/>
      <c r="B31" s="12"/>
      <c r="C31" s="12"/>
      <c r="D31" s="13"/>
      <c r="E31" s="12"/>
      <c r="F31" s="14"/>
      <c r="G31" s="15" t="str">
        <f aca="false">IF(D31="","",D31*E31)</f>
        <v/>
      </c>
      <c r="H31" s="18" t="str">
        <f aca="false">IF(OR(F31="",E31=""),"",EDATE(F31,E31-1))</f>
        <v/>
      </c>
      <c r="I31" s="12"/>
    </row>
    <row r="32" customFormat="false" ht="15" hidden="false" customHeight="false" outlineLevel="0" collapsed="false">
      <c r="A32" s="12"/>
      <c r="B32" s="12"/>
      <c r="C32" s="12"/>
      <c r="D32" s="13"/>
      <c r="E32" s="12"/>
      <c r="F32" s="14"/>
      <c r="G32" s="15" t="str">
        <f aca="false">IF(D32="","",D32*E32)</f>
        <v/>
      </c>
      <c r="H32" s="18" t="str">
        <f aca="false">IF(OR(F32="",E32=""),"",EDATE(F32,E32-1))</f>
        <v/>
      </c>
      <c r="I32" s="12"/>
    </row>
    <row r="33" customFormat="false" ht="15" hidden="false" customHeight="false" outlineLevel="0" collapsed="false">
      <c r="A33" s="12"/>
      <c r="B33" s="12"/>
      <c r="C33" s="12"/>
      <c r="D33" s="13"/>
      <c r="E33" s="12"/>
      <c r="F33" s="14"/>
      <c r="G33" s="15" t="str">
        <f aca="false">IF(D33="","",D33*E33)</f>
        <v/>
      </c>
      <c r="H33" s="18" t="str">
        <f aca="false">IF(OR(F33="",E33=""),"",EDATE(F33,E33-1))</f>
        <v/>
      </c>
      <c r="I33" s="12"/>
    </row>
    <row r="34" customFormat="false" ht="15" hidden="false" customHeight="false" outlineLevel="0" collapsed="false">
      <c r="A34" s="12"/>
      <c r="B34" s="12"/>
      <c r="C34" s="12"/>
      <c r="D34" s="13"/>
      <c r="E34" s="12"/>
      <c r="F34" s="14"/>
      <c r="G34" s="15" t="str">
        <f aca="false">IF(D34="","",D34*E34)</f>
        <v/>
      </c>
      <c r="H34" s="18" t="str">
        <f aca="false">IF(OR(F34="",E34=""),"",EDATE(F34,E34-1))</f>
        <v/>
      </c>
      <c r="I34" s="12"/>
    </row>
    <row r="35" customFormat="false" ht="15" hidden="false" customHeight="false" outlineLevel="0" collapsed="false">
      <c r="A35" s="12"/>
      <c r="B35" s="12"/>
      <c r="C35" s="12"/>
      <c r="D35" s="13"/>
      <c r="E35" s="12"/>
      <c r="F35" s="14"/>
      <c r="G35" s="15" t="str">
        <f aca="false">IF(D35="","",D35*E35)</f>
        <v/>
      </c>
      <c r="H35" s="18" t="str">
        <f aca="false">IF(OR(F35="",E35=""),"",EDATE(F35,E35-1))</f>
        <v/>
      </c>
      <c r="I35" s="12"/>
    </row>
    <row r="36" customFormat="false" ht="15" hidden="false" customHeight="false" outlineLevel="0" collapsed="false">
      <c r="A36" s="12"/>
      <c r="B36" s="12"/>
      <c r="C36" s="12"/>
      <c r="D36" s="13"/>
      <c r="E36" s="12"/>
      <c r="F36" s="14"/>
      <c r="G36" s="15" t="str">
        <f aca="false">IF(D36="","",D36*E36)</f>
        <v/>
      </c>
      <c r="H36" s="18" t="str">
        <f aca="false">IF(OR(F36="",E36=""),"",EDATE(F36,E36-1))</f>
        <v/>
      </c>
      <c r="I36" s="12"/>
    </row>
    <row r="37" customFormat="false" ht="15" hidden="false" customHeight="false" outlineLevel="0" collapsed="false">
      <c r="A37" s="12"/>
      <c r="B37" s="12"/>
      <c r="C37" s="12"/>
      <c r="D37" s="13"/>
      <c r="E37" s="12"/>
      <c r="F37" s="14"/>
      <c r="G37" s="15" t="str">
        <f aca="false">IF(D37="","",D37*E37)</f>
        <v/>
      </c>
      <c r="H37" s="18" t="str">
        <f aca="false">IF(OR(F37="",E37=""),"",EDATE(F37,E37-1))</f>
        <v/>
      </c>
      <c r="I37" s="12"/>
    </row>
    <row r="38" customFormat="false" ht="15" hidden="false" customHeight="false" outlineLevel="0" collapsed="false">
      <c r="A38" s="12"/>
      <c r="B38" s="12"/>
      <c r="C38" s="12"/>
      <c r="D38" s="13"/>
      <c r="E38" s="12"/>
      <c r="F38" s="14"/>
      <c r="G38" s="15" t="str">
        <f aca="false">IF(D38="","",D38*E38)</f>
        <v/>
      </c>
      <c r="H38" s="18" t="str">
        <f aca="false">IF(OR(F38="",E38=""),"",EDATE(F38,E38-1))</f>
        <v/>
      </c>
      <c r="I38" s="12"/>
    </row>
    <row r="39" customFormat="false" ht="15" hidden="false" customHeight="false" outlineLevel="0" collapsed="false">
      <c r="A39" s="12"/>
      <c r="B39" s="12"/>
      <c r="C39" s="12"/>
      <c r="D39" s="13"/>
      <c r="E39" s="12"/>
      <c r="F39" s="14"/>
      <c r="G39" s="15" t="str">
        <f aca="false">IF(D39="","",D39*E39)</f>
        <v/>
      </c>
      <c r="H39" s="18" t="str">
        <f aca="false">IF(OR(F39="",E39=""),"",EDATE(F39,E39-1))</f>
        <v/>
      </c>
      <c r="I39" s="12"/>
    </row>
    <row r="40" customFormat="false" ht="15" hidden="false" customHeight="false" outlineLevel="0" collapsed="false">
      <c r="A40" s="12"/>
      <c r="B40" s="12"/>
      <c r="C40" s="12"/>
      <c r="D40" s="13"/>
      <c r="E40" s="12"/>
      <c r="F40" s="14"/>
      <c r="G40" s="15" t="str">
        <f aca="false">IF(D40="","",D40*E40)</f>
        <v/>
      </c>
      <c r="H40" s="18" t="str">
        <f aca="false">IF(OR(F40="",E40=""),"",EDATE(F40,E40-1))</f>
        <v/>
      </c>
      <c r="I40" s="12"/>
    </row>
    <row r="41" customFormat="false" ht="15" hidden="false" customHeight="false" outlineLevel="0" collapsed="false">
      <c r="A41" s="12"/>
      <c r="B41" s="12"/>
      <c r="C41" s="12"/>
      <c r="D41" s="13"/>
      <c r="E41" s="12"/>
      <c r="F41" s="14"/>
      <c r="G41" s="15" t="str">
        <f aca="false">IF(D41="","",D41*E41)</f>
        <v/>
      </c>
      <c r="H41" s="18" t="str">
        <f aca="false">IF(OR(F41="",E41=""),"",EDATE(F41,E41-1))</f>
        <v/>
      </c>
      <c r="I41" s="12"/>
    </row>
    <row r="42" customFormat="false" ht="15" hidden="false" customHeight="false" outlineLevel="0" collapsed="false">
      <c r="A42" s="12"/>
      <c r="B42" s="12"/>
      <c r="C42" s="12"/>
      <c r="D42" s="13"/>
      <c r="E42" s="12"/>
      <c r="F42" s="14"/>
      <c r="G42" s="15" t="str">
        <f aca="false">IF(D42="","",D42*E42)</f>
        <v/>
      </c>
      <c r="H42" s="18" t="str">
        <f aca="false">IF(OR(F42="",E42=""),"",EDATE(F42,E42-1))</f>
        <v/>
      </c>
      <c r="I42" s="12"/>
    </row>
    <row r="43" customFormat="false" ht="15" hidden="false" customHeight="false" outlineLevel="0" collapsed="false">
      <c r="A43" s="12"/>
      <c r="B43" s="12"/>
      <c r="C43" s="12"/>
      <c r="D43" s="13"/>
      <c r="E43" s="12"/>
      <c r="F43" s="14"/>
      <c r="G43" s="15" t="str">
        <f aca="false">IF(D43="","",D43*E43)</f>
        <v/>
      </c>
      <c r="H43" s="18" t="str">
        <f aca="false">IF(OR(F43="",E43=""),"",EDATE(F43,E43-1))</f>
        <v/>
      </c>
      <c r="I43" s="12"/>
    </row>
    <row r="44" customFormat="false" ht="15" hidden="false" customHeight="false" outlineLevel="0" collapsed="false">
      <c r="A44" s="12"/>
      <c r="B44" s="12"/>
      <c r="C44" s="12"/>
      <c r="D44" s="13"/>
      <c r="E44" s="12"/>
      <c r="F44" s="14"/>
      <c r="G44" s="15" t="str">
        <f aca="false">IF(D44="","",D44*E44)</f>
        <v/>
      </c>
      <c r="H44" s="18" t="str">
        <f aca="false">IF(OR(F44="",E44=""),"",EDATE(F44,E44-1))</f>
        <v/>
      </c>
      <c r="I44" s="12"/>
    </row>
    <row r="45" customFormat="false" ht="15" hidden="false" customHeight="false" outlineLevel="0" collapsed="false">
      <c r="A45" s="12"/>
      <c r="B45" s="12"/>
      <c r="C45" s="12"/>
      <c r="D45" s="13"/>
      <c r="E45" s="12"/>
      <c r="F45" s="14"/>
      <c r="G45" s="15" t="str">
        <f aca="false">IF(D45="","",D45*E45)</f>
        <v/>
      </c>
      <c r="H45" s="18" t="str">
        <f aca="false">IF(OR(F45="",E45=""),"",EDATE(F45,E45-1))</f>
        <v/>
      </c>
      <c r="I45" s="12"/>
    </row>
    <row r="46" customFormat="false" ht="15" hidden="false" customHeight="false" outlineLevel="0" collapsed="false">
      <c r="A46" s="12"/>
      <c r="B46" s="12"/>
      <c r="C46" s="12"/>
      <c r="D46" s="13"/>
      <c r="E46" s="12"/>
      <c r="F46" s="14"/>
      <c r="G46" s="15" t="str">
        <f aca="false">IF(D46="","",D46*E46)</f>
        <v/>
      </c>
      <c r="H46" s="18" t="str">
        <f aca="false">IF(OR(F46="",E46=""),"",EDATE(F46,E46-1))</f>
        <v/>
      </c>
      <c r="I46" s="12"/>
    </row>
    <row r="47" customFormat="false" ht="15" hidden="false" customHeight="false" outlineLevel="0" collapsed="false">
      <c r="A47" s="12"/>
      <c r="B47" s="12"/>
      <c r="C47" s="12"/>
      <c r="D47" s="13"/>
      <c r="E47" s="12"/>
      <c r="F47" s="14"/>
      <c r="G47" s="15" t="str">
        <f aca="false">IF(D47="","",D47*E47)</f>
        <v/>
      </c>
      <c r="H47" s="18" t="str">
        <f aca="false">IF(OR(F47="",E47=""),"",EDATE(F47,E47-1))</f>
        <v/>
      </c>
      <c r="I47" s="12"/>
    </row>
    <row r="48" customFormat="false" ht="15" hidden="false" customHeight="false" outlineLevel="0" collapsed="false">
      <c r="A48" s="12"/>
      <c r="B48" s="12"/>
      <c r="C48" s="12"/>
      <c r="D48" s="13"/>
      <c r="E48" s="12"/>
      <c r="F48" s="14"/>
      <c r="G48" s="15" t="str">
        <f aca="false">IF(D48="","",D48*E48)</f>
        <v/>
      </c>
      <c r="H48" s="18" t="str">
        <f aca="false">IF(OR(F48="",E48=""),"",EDATE(F48,E48-1))</f>
        <v/>
      </c>
      <c r="I48" s="12"/>
    </row>
    <row r="49" customFormat="false" ht="15" hidden="false" customHeight="false" outlineLevel="0" collapsed="false">
      <c r="A49" s="12"/>
      <c r="B49" s="12"/>
      <c r="C49" s="12"/>
      <c r="D49" s="13"/>
      <c r="E49" s="12"/>
      <c r="F49" s="14"/>
      <c r="G49" s="15" t="str">
        <f aca="false">IF(D49="","",D49*E49)</f>
        <v/>
      </c>
      <c r="H49" s="18" t="str">
        <f aca="false">IF(OR(F49="",E49=""),"",EDATE(F49,E49-1))</f>
        <v/>
      </c>
      <c r="I49" s="12"/>
    </row>
    <row r="50" customFormat="false" ht="15" hidden="false" customHeight="false" outlineLevel="0" collapsed="false">
      <c r="A50" s="12"/>
      <c r="B50" s="12"/>
      <c r="C50" s="12"/>
      <c r="D50" s="13"/>
      <c r="E50" s="12"/>
      <c r="F50" s="14"/>
      <c r="G50" s="15" t="str">
        <f aca="false">IF(D50="","",D50*E50)</f>
        <v/>
      </c>
      <c r="H50" s="18" t="str">
        <f aca="false">IF(OR(F50="",E50=""),"",EDATE(F50,E50-1))</f>
        <v/>
      </c>
      <c r="I50" s="12"/>
    </row>
    <row r="51" customFormat="false" ht="15" hidden="false" customHeight="false" outlineLevel="0" collapsed="false">
      <c r="A51" s="12"/>
      <c r="B51" s="12"/>
      <c r="C51" s="12"/>
      <c r="D51" s="13"/>
      <c r="E51" s="12"/>
      <c r="F51" s="14"/>
      <c r="G51" s="15" t="str">
        <f aca="false">IF(D51="","",D51*E51)</f>
        <v/>
      </c>
      <c r="H51" s="18" t="str">
        <f aca="false">IF(OR(F51="",E51=""),"",EDATE(F51,E51-1))</f>
        <v/>
      </c>
      <c r="I51" s="12"/>
    </row>
    <row r="52" customFormat="false" ht="15" hidden="false" customHeight="false" outlineLevel="0" collapsed="false">
      <c r="A52" s="12"/>
      <c r="B52" s="12"/>
      <c r="C52" s="12"/>
      <c r="D52" s="13"/>
      <c r="E52" s="12"/>
      <c r="F52" s="14"/>
      <c r="G52" s="15" t="str">
        <f aca="false">IF(D52="","",D52*E52)</f>
        <v/>
      </c>
      <c r="H52" s="18" t="str">
        <f aca="false">IF(OR(F52="",E52=""),"",EDATE(F52,E52-1))</f>
        <v/>
      </c>
      <c r="I52" s="12"/>
    </row>
    <row r="53" customFormat="false" ht="15" hidden="false" customHeight="false" outlineLevel="0" collapsed="false">
      <c r="A53" s="12"/>
      <c r="B53" s="12"/>
      <c r="C53" s="12"/>
      <c r="D53" s="13"/>
      <c r="E53" s="12"/>
      <c r="F53" s="14"/>
      <c r="G53" s="15" t="str">
        <f aca="false">IF(D53="","",D53*E53)</f>
        <v/>
      </c>
      <c r="H53" s="18" t="str">
        <f aca="false">IF(OR(F53="",E53=""),"",EDATE(F53,E53-1))</f>
        <v/>
      </c>
      <c r="I53" s="12"/>
    </row>
    <row r="54" customFormat="false" ht="15" hidden="false" customHeight="false" outlineLevel="0" collapsed="false">
      <c r="A54" s="12"/>
      <c r="B54" s="12"/>
      <c r="C54" s="12"/>
      <c r="D54" s="13"/>
      <c r="E54" s="12"/>
      <c r="F54" s="14"/>
      <c r="G54" s="15" t="str">
        <f aca="false">IF(D54="","",D54*E54)</f>
        <v/>
      </c>
      <c r="H54" s="18" t="str">
        <f aca="false">IF(OR(F54="",E54=""),"",EDATE(F54,E54-1))</f>
        <v/>
      </c>
      <c r="I54" s="12"/>
    </row>
    <row r="55" customFormat="false" ht="15" hidden="false" customHeight="false" outlineLevel="0" collapsed="false">
      <c r="A55" s="12"/>
      <c r="B55" s="12"/>
      <c r="C55" s="12"/>
      <c r="D55" s="13"/>
      <c r="E55" s="12"/>
      <c r="F55" s="14"/>
      <c r="G55" s="15" t="str">
        <f aca="false">IF(D55="","",D55*E55)</f>
        <v/>
      </c>
      <c r="H55" s="18" t="str">
        <f aca="false">IF(OR(F55="",E55=""),"",EDATE(F55,E55-1))</f>
        <v/>
      </c>
      <c r="I55" s="12"/>
    </row>
    <row r="56" customFormat="false" ht="15" hidden="false" customHeight="false" outlineLevel="0" collapsed="false">
      <c r="A56" s="12"/>
      <c r="B56" s="12"/>
      <c r="C56" s="12"/>
      <c r="D56" s="13"/>
      <c r="E56" s="12"/>
      <c r="F56" s="14"/>
      <c r="G56" s="15" t="str">
        <f aca="false">IF(D56="","",D56*E56)</f>
        <v/>
      </c>
      <c r="H56" s="18" t="str">
        <f aca="false">IF(OR(F56="",E56=""),"",EDATE(F56,E56-1))</f>
        <v/>
      </c>
      <c r="I56" s="12"/>
    </row>
    <row r="57" customFormat="false" ht="15" hidden="false" customHeight="false" outlineLevel="0" collapsed="false">
      <c r="A57" s="12"/>
      <c r="B57" s="12"/>
      <c r="C57" s="12"/>
      <c r="D57" s="13"/>
      <c r="E57" s="12"/>
      <c r="F57" s="14"/>
      <c r="G57" s="15" t="str">
        <f aca="false">IF(D57="","",D57*E57)</f>
        <v/>
      </c>
      <c r="H57" s="18" t="str">
        <f aca="false">IF(OR(F57="",E57=""),"",EDATE(F57,E57-1))</f>
        <v/>
      </c>
      <c r="I57" s="12"/>
    </row>
    <row r="58" customFormat="false" ht="15" hidden="false" customHeight="false" outlineLevel="0" collapsed="false">
      <c r="A58" s="12"/>
      <c r="B58" s="12"/>
      <c r="C58" s="12"/>
      <c r="D58" s="13"/>
      <c r="E58" s="12"/>
      <c r="F58" s="14"/>
      <c r="G58" s="15" t="str">
        <f aca="false">IF(D58="","",D58*E58)</f>
        <v/>
      </c>
      <c r="H58" s="18" t="str">
        <f aca="false">IF(OR(F58="",E58=""),"",EDATE(F58,E58-1))</f>
        <v/>
      </c>
      <c r="I58" s="12"/>
    </row>
    <row r="59" customFormat="false" ht="15" hidden="false" customHeight="false" outlineLevel="0" collapsed="false">
      <c r="A59" s="12"/>
      <c r="B59" s="12"/>
      <c r="C59" s="12"/>
      <c r="D59" s="13"/>
      <c r="E59" s="12"/>
      <c r="F59" s="14"/>
      <c r="G59" s="15" t="str">
        <f aca="false">IF(D59="","",D59*E59)</f>
        <v/>
      </c>
      <c r="H59" s="18" t="str">
        <f aca="false">IF(OR(F59="",E59=""),"",EDATE(F59,E59-1))</f>
        <v/>
      </c>
      <c r="I59" s="12"/>
    </row>
    <row r="60" customFormat="false" ht="15" hidden="false" customHeight="false" outlineLevel="0" collapsed="false">
      <c r="A60" s="12"/>
      <c r="B60" s="12"/>
      <c r="C60" s="12"/>
      <c r="D60" s="13"/>
      <c r="E60" s="12"/>
      <c r="F60" s="14"/>
      <c r="G60" s="15" t="str">
        <f aca="false">IF(D60="","",D60*E60)</f>
        <v/>
      </c>
      <c r="H60" s="18" t="str">
        <f aca="false">IF(OR(F60="",E60=""),"",EDATE(F60,E60-1))</f>
        <v/>
      </c>
      <c r="I60" s="12"/>
    </row>
    <row r="61" customFormat="false" ht="15" hidden="false" customHeight="false" outlineLevel="0" collapsed="false">
      <c r="A61" s="12"/>
      <c r="B61" s="12"/>
      <c r="C61" s="12"/>
      <c r="D61" s="13"/>
      <c r="E61" s="12"/>
      <c r="F61" s="14"/>
      <c r="G61" s="15" t="str">
        <f aca="false">IF(D61="","",D61*E61)</f>
        <v/>
      </c>
      <c r="H61" s="18" t="str">
        <f aca="false">IF(OR(F61="",E61=""),"",EDATE(F61,E61-1))</f>
        <v/>
      </c>
      <c r="I61" s="12"/>
    </row>
  </sheetData>
  <dataValidations count="2">
    <dataValidation allowBlank="true" errorStyle="stop" operator="between" showDropDown="false" showErrorMessage="false" showInputMessage="false" sqref="C2:C61" type="list">
      <formula1>"Rodrigo,Esposa,Casal"</formula1>
      <formula2>0</formula2>
    </dataValidation>
    <dataValidation allowBlank="true" errorStyle="stop" operator="between" showDropDown="false" showErrorMessage="false" showInputMessage="false" sqref="I2:I61" type="list">
      <formula1>Cartões!$A$2:$A$31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4" min="3" style="0" width="15"/>
    <col collapsed="false" customWidth="true" hidden="false" outlineLevel="0" max="5" min="5" style="0" width="18"/>
  </cols>
  <sheetData>
    <row r="1" customFormat="false" ht="30" hidden="false" customHeight="true" outlineLevel="0" collapsed="false">
      <c r="A1" s="11" t="s">
        <v>35</v>
      </c>
      <c r="B1" s="11" t="s">
        <v>17</v>
      </c>
      <c r="C1" s="11" t="s">
        <v>104</v>
      </c>
      <c r="D1" s="11" t="s">
        <v>105</v>
      </c>
      <c r="E1" s="11" t="s">
        <v>106</v>
      </c>
      <c r="F1" s="2"/>
      <c r="G1" s="2"/>
    </row>
    <row r="2" customFormat="false" ht="15" hidden="false" customHeight="false" outlineLevel="0" collapsed="false">
      <c r="A2" s="12" t="s">
        <v>107</v>
      </c>
      <c r="B2" s="12" t="s">
        <v>101</v>
      </c>
      <c r="C2" s="13" t="n">
        <v>15000</v>
      </c>
      <c r="D2" s="13" t="n">
        <v>1000</v>
      </c>
      <c r="E2" s="19" t="n">
        <v>0.1</v>
      </c>
      <c r="F2" s="2"/>
      <c r="G2" s="10" t="s">
        <v>108</v>
      </c>
    </row>
    <row r="3" customFormat="false" ht="15" hidden="false" customHeight="false" outlineLevel="0" collapsed="false">
      <c r="A3" s="12" t="s">
        <v>109</v>
      </c>
      <c r="B3" s="12" t="s">
        <v>79</v>
      </c>
      <c r="C3" s="13" t="n">
        <v>8000</v>
      </c>
      <c r="D3" s="13" t="n">
        <v>300</v>
      </c>
      <c r="E3" s="19" t="n">
        <v>0.08</v>
      </c>
      <c r="F3" s="2"/>
      <c r="G3" s="2"/>
    </row>
    <row r="4" customFormat="false" ht="15" hidden="false" customHeight="false" outlineLevel="0" collapsed="false">
      <c r="A4" s="12" t="s">
        <v>110</v>
      </c>
      <c r="B4" s="12" t="s">
        <v>81</v>
      </c>
      <c r="C4" s="13" t="n">
        <v>6000</v>
      </c>
      <c r="D4" s="13" t="n">
        <v>300</v>
      </c>
      <c r="E4" s="19" t="n">
        <v>0.08</v>
      </c>
      <c r="F4" s="2"/>
      <c r="G4" s="2"/>
    </row>
    <row r="5" customFormat="false" ht="15" hidden="false" customHeight="false" outlineLevel="0" collapsed="false">
      <c r="A5" s="12"/>
      <c r="B5" s="12"/>
      <c r="C5" s="13"/>
      <c r="D5" s="13"/>
      <c r="E5" s="19"/>
      <c r="F5" s="2"/>
      <c r="G5" s="2"/>
    </row>
    <row r="6" customFormat="false" ht="15" hidden="false" customHeight="false" outlineLevel="0" collapsed="false">
      <c r="A6" s="12"/>
      <c r="B6" s="12"/>
      <c r="C6" s="13"/>
      <c r="D6" s="13"/>
      <c r="E6" s="19"/>
      <c r="F6" s="2"/>
      <c r="G6" s="2"/>
    </row>
    <row r="7" customFormat="false" ht="15" hidden="false" customHeight="false" outlineLevel="0" collapsed="false">
      <c r="A7" s="12"/>
      <c r="B7" s="12"/>
      <c r="C7" s="13"/>
      <c r="D7" s="13"/>
      <c r="E7" s="19"/>
      <c r="F7" s="2"/>
      <c r="G7" s="2"/>
    </row>
    <row r="8" customFormat="false" ht="15" hidden="false" customHeight="false" outlineLevel="0" collapsed="false">
      <c r="A8" s="12"/>
      <c r="B8" s="12"/>
      <c r="C8" s="13"/>
      <c r="D8" s="13"/>
      <c r="E8" s="19"/>
      <c r="F8" s="2"/>
      <c r="G8" s="2"/>
    </row>
    <row r="9" customFormat="false" ht="15" hidden="false" customHeight="false" outlineLevel="0" collapsed="false">
      <c r="A9" s="12"/>
      <c r="B9" s="12"/>
      <c r="C9" s="13"/>
      <c r="D9" s="13"/>
      <c r="E9" s="19"/>
      <c r="F9" s="2"/>
      <c r="G9" s="2"/>
    </row>
    <row r="10" customFormat="false" ht="15" hidden="false" customHeight="false" outlineLevel="0" collapsed="false">
      <c r="A10" s="12"/>
      <c r="B10" s="12"/>
      <c r="C10" s="13"/>
      <c r="D10" s="13"/>
      <c r="E10" s="19"/>
      <c r="F10" s="2"/>
      <c r="G10" s="2"/>
    </row>
    <row r="11" customFormat="false" ht="15" hidden="false" customHeight="false" outlineLevel="0" collapsed="false">
      <c r="A11" s="12"/>
      <c r="B11" s="12"/>
      <c r="C11" s="13"/>
      <c r="D11" s="13"/>
      <c r="E11" s="19"/>
      <c r="F11" s="2"/>
      <c r="G11" s="2"/>
    </row>
    <row r="12" customFormat="false" ht="15" hidden="false" customHeight="false" outlineLevel="0" collapsed="false">
      <c r="A12" s="12"/>
      <c r="B12" s="12"/>
      <c r="C12" s="13"/>
      <c r="D12" s="13"/>
      <c r="E12" s="19"/>
      <c r="F12" s="2"/>
      <c r="G12" s="2"/>
    </row>
    <row r="13" customFormat="false" ht="15" hidden="false" customHeight="false" outlineLevel="0" collapsed="false">
      <c r="A13" s="12"/>
      <c r="B13" s="12"/>
      <c r="C13" s="13"/>
      <c r="D13" s="13"/>
      <c r="E13" s="19"/>
      <c r="F13" s="2"/>
      <c r="G13" s="2"/>
    </row>
    <row r="14" customFormat="false" ht="15" hidden="false" customHeight="false" outlineLevel="0" collapsed="false">
      <c r="A14" s="12"/>
      <c r="B14" s="12"/>
      <c r="C14" s="13"/>
      <c r="D14" s="13"/>
      <c r="E14" s="19"/>
      <c r="F14" s="2"/>
      <c r="G14" s="2"/>
    </row>
    <row r="15" customFormat="false" ht="15" hidden="false" customHeight="false" outlineLevel="0" collapsed="false">
      <c r="A15" s="12"/>
      <c r="B15" s="12"/>
      <c r="C15" s="13"/>
      <c r="D15" s="13"/>
      <c r="E15" s="19"/>
      <c r="F15" s="2"/>
      <c r="G15" s="2"/>
    </row>
    <row r="16" customFormat="false" ht="15" hidden="false" customHeight="false" outlineLevel="0" collapsed="false">
      <c r="A16" s="12"/>
      <c r="B16" s="12"/>
      <c r="C16" s="13"/>
      <c r="D16" s="13"/>
      <c r="E16" s="19"/>
      <c r="F16" s="2"/>
      <c r="G16" s="2"/>
    </row>
    <row r="17" customFormat="false" ht="15" hidden="false" customHeight="false" outlineLevel="0" collapsed="false">
      <c r="A17" s="12"/>
      <c r="B17" s="12"/>
      <c r="C17" s="13"/>
      <c r="D17" s="13"/>
      <c r="E17" s="19"/>
      <c r="F17" s="2"/>
      <c r="G17" s="2"/>
    </row>
    <row r="18" customFormat="false" ht="15" hidden="false" customHeight="false" outlineLevel="0" collapsed="false">
      <c r="A18" s="12"/>
      <c r="B18" s="12"/>
      <c r="C18" s="13"/>
      <c r="D18" s="13"/>
      <c r="E18" s="19"/>
      <c r="F18" s="2"/>
      <c r="G18" s="2"/>
    </row>
    <row r="19" customFormat="false" ht="15" hidden="false" customHeight="false" outlineLevel="0" collapsed="false">
      <c r="A19" s="12"/>
      <c r="B19" s="12"/>
      <c r="C19" s="13"/>
      <c r="D19" s="13"/>
      <c r="E19" s="19"/>
      <c r="F19" s="2"/>
      <c r="G19" s="2"/>
    </row>
    <row r="20" customFormat="false" ht="15" hidden="false" customHeight="false" outlineLevel="0" collapsed="false">
      <c r="A20" s="12"/>
      <c r="B20" s="12"/>
      <c r="C20" s="13"/>
      <c r="D20" s="13"/>
      <c r="E20" s="19"/>
      <c r="F20" s="2"/>
      <c r="G20" s="2"/>
    </row>
    <row r="21" customFormat="false" ht="15" hidden="false" customHeight="false" outlineLevel="0" collapsed="false">
      <c r="A21" s="12"/>
      <c r="B21" s="12"/>
      <c r="C21" s="13"/>
      <c r="D21" s="13"/>
      <c r="E21" s="19"/>
      <c r="F21" s="2"/>
      <c r="G21" s="2"/>
    </row>
    <row r="22" customFormat="false" ht="15" hidden="false" customHeight="false" outlineLevel="0" collapsed="false">
      <c r="A22" s="12"/>
      <c r="B22" s="12"/>
      <c r="C22" s="13"/>
      <c r="D22" s="13"/>
      <c r="E22" s="19"/>
      <c r="F22" s="2"/>
      <c r="G22" s="2"/>
    </row>
    <row r="23" customFormat="false" ht="15" hidden="false" customHeight="false" outlineLevel="0" collapsed="false">
      <c r="A23" s="12"/>
      <c r="B23" s="12"/>
      <c r="C23" s="13"/>
      <c r="D23" s="13"/>
      <c r="E23" s="19"/>
      <c r="F23" s="2"/>
      <c r="G23" s="2"/>
    </row>
    <row r="24" customFormat="false" ht="15" hidden="false" customHeight="false" outlineLevel="0" collapsed="false">
      <c r="A24" s="12"/>
      <c r="B24" s="12"/>
      <c r="C24" s="13"/>
      <c r="D24" s="13"/>
      <c r="E24" s="19"/>
      <c r="F24" s="2"/>
      <c r="G24" s="2"/>
    </row>
    <row r="25" customFormat="false" ht="15" hidden="false" customHeight="false" outlineLevel="0" collapsed="false">
      <c r="A25" s="12"/>
      <c r="B25" s="12"/>
      <c r="C25" s="13"/>
      <c r="D25" s="13"/>
      <c r="E25" s="19"/>
      <c r="F25" s="2"/>
      <c r="G25" s="2"/>
    </row>
    <row r="26" customFormat="false" ht="15" hidden="false" customHeight="false" outlineLevel="0" collapsed="false">
      <c r="A26" s="12"/>
      <c r="B26" s="12"/>
      <c r="C26" s="13"/>
      <c r="D26" s="13"/>
      <c r="E26" s="19"/>
      <c r="F26" s="2"/>
      <c r="G26" s="2"/>
    </row>
    <row r="27" customFormat="false" ht="15" hidden="false" customHeight="false" outlineLevel="0" collapsed="false">
      <c r="A27" s="12"/>
      <c r="B27" s="12"/>
      <c r="C27" s="13"/>
      <c r="D27" s="13"/>
      <c r="E27" s="19"/>
      <c r="F27" s="2"/>
      <c r="G27" s="2"/>
    </row>
    <row r="28" customFormat="false" ht="15" hidden="false" customHeight="false" outlineLevel="0" collapsed="false">
      <c r="A28" s="12"/>
      <c r="B28" s="12"/>
      <c r="C28" s="13"/>
      <c r="D28" s="13"/>
      <c r="E28" s="19"/>
      <c r="F28" s="2"/>
      <c r="G28" s="2"/>
    </row>
    <row r="29" customFormat="false" ht="15" hidden="false" customHeight="false" outlineLevel="0" collapsed="false">
      <c r="A29" s="12"/>
      <c r="B29" s="12"/>
      <c r="C29" s="13"/>
      <c r="D29" s="13"/>
      <c r="E29" s="19"/>
      <c r="F29" s="2"/>
      <c r="G29" s="2"/>
    </row>
    <row r="30" customFormat="false" ht="15" hidden="false" customHeight="false" outlineLevel="0" collapsed="false">
      <c r="A30" s="12"/>
      <c r="B30" s="12"/>
      <c r="C30" s="13"/>
      <c r="D30" s="13"/>
      <c r="E30" s="19"/>
      <c r="F30" s="2"/>
      <c r="G30" s="2"/>
    </row>
    <row r="31" customFormat="false" ht="15" hidden="false" customHeight="false" outlineLevel="0" collapsed="false">
      <c r="A31" s="12"/>
      <c r="B31" s="12"/>
      <c r="C31" s="13"/>
      <c r="D31" s="13"/>
      <c r="E31" s="19"/>
      <c r="F31" s="2"/>
      <c r="G31" s="2"/>
    </row>
    <row r="32" customFormat="false" ht="15" hidden="false" customHeight="false" outlineLevel="0" collapsed="false">
      <c r="A32" s="12"/>
      <c r="B32" s="12"/>
      <c r="C32" s="13"/>
      <c r="D32" s="13"/>
      <c r="E32" s="19"/>
      <c r="F32" s="2"/>
      <c r="G32" s="2"/>
    </row>
    <row r="33" customFormat="false" ht="15" hidden="false" customHeight="false" outlineLevel="0" collapsed="false">
      <c r="A33" s="12"/>
      <c r="B33" s="12"/>
      <c r="C33" s="13"/>
      <c r="D33" s="13"/>
      <c r="E33" s="19"/>
      <c r="F33" s="2"/>
      <c r="G33" s="2"/>
    </row>
    <row r="34" customFormat="false" ht="15" hidden="false" customHeight="false" outlineLevel="0" collapsed="false">
      <c r="A34" s="12"/>
      <c r="B34" s="12"/>
      <c r="C34" s="13"/>
      <c r="D34" s="13"/>
      <c r="E34" s="19"/>
      <c r="F34" s="2"/>
      <c r="G34" s="2"/>
    </row>
    <row r="35" customFormat="false" ht="15" hidden="false" customHeight="false" outlineLevel="0" collapsed="false">
      <c r="A35" s="12"/>
      <c r="B35" s="12"/>
      <c r="C35" s="13"/>
      <c r="D35" s="13"/>
      <c r="E35" s="19"/>
      <c r="F35" s="2"/>
      <c r="G35" s="2"/>
    </row>
    <row r="36" customFormat="false" ht="15" hidden="false" customHeight="false" outlineLevel="0" collapsed="false">
      <c r="A36" s="12"/>
      <c r="B36" s="12"/>
      <c r="C36" s="13"/>
      <c r="D36" s="13"/>
      <c r="E36" s="19"/>
      <c r="F36" s="2"/>
      <c r="G36" s="2"/>
    </row>
    <row r="37" customFormat="false" ht="15" hidden="false" customHeight="false" outlineLevel="0" collapsed="false">
      <c r="A37" s="12"/>
      <c r="B37" s="12"/>
      <c r="C37" s="13"/>
      <c r="D37" s="13"/>
      <c r="E37" s="19"/>
      <c r="F37" s="2"/>
      <c r="G37" s="2"/>
    </row>
    <row r="38" customFormat="false" ht="15" hidden="false" customHeight="false" outlineLevel="0" collapsed="false">
      <c r="A38" s="12"/>
      <c r="B38" s="12"/>
      <c r="C38" s="13"/>
      <c r="D38" s="13"/>
      <c r="E38" s="19"/>
      <c r="F38" s="2"/>
      <c r="G38" s="2"/>
    </row>
    <row r="39" customFormat="false" ht="15" hidden="false" customHeight="false" outlineLevel="0" collapsed="false">
      <c r="A39" s="12"/>
      <c r="B39" s="12"/>
      <c r="C39" s="13"/>
      <c r="D39" s="13"/>
      <c r="E39" s="19"/>
      <c r="F39" s="2"/>
      <c r="G39" s="2"/>
    </row>
    <row r="40" customFormat="false" ht="15" hidden="false" customHeight="false" outlineLevel="0" collapsed="false">
      <c r="A40" s="12"/>
      <c r="B40" s="12"/>
      <c r="C40" s="13"/>
      <c r="D40" s="13"/>
      <c r="E40" s="19"/>
      <c r="F40" s="2"/>
      <c r="G40" s="2"/>
    </row>
    <row r="41" customFormat="false" ht="15" hidden="false" customHeight="false" outlineLevel="0" collapsed="false">
      <c r="A41" s="12"/>
      <c r="B41" s="12"/>
      <c r="C41" s="13"/>
      <c r="D41" s="13"/>
      <c r="E41" s="19"/>
      <c r="F41" s="2"/>
      <c r="G41" s="2"/>
    </row>
    <row r="42" customFormat="false" ht="15" hidden="false" customHeight="false" outlineLevel="0" collapsed="false">
      <c r="A42" s="12"/>
      <c r="B42" s="12"/>
      <c r="C42" s="13"/>
      <c r="D42" s="13"/>
      <c r="E42" s="19"/>
      <c r="F42" s="2"/>
      <c r="G42" s="2"/>
    </row>
    <row r="43" customFormat="false" ht="15" hidden="false" customHeight="false" outlineLevel="0" collapsed="false">
      <c r="A43" s="12"/>
      <c r="B43" s="12"/>
      <c r="C43" s="13"/>
      <c r="D43" s="13"/>
      <c r="E43" s="19"/>
      <c r="F43" s="2"/>
      <c r="G43" s="2"/>
    </row>
    <row r="44" customFormat="false" ht="15" hidden="false" customHeight="false" outlineLevel="0" collapsed="false">
      <c r="A44" s="12"/>
      <c r="B44" s="12"/>
      <c r="C44" s="13"/>
      <c r="D44" s="13"/>
      <c r="E44" s="19"/>
      <c r="F44" s="2"/>
      <c r="G44" s="2"/>
    </row>
    <row r="45" customFormat="false" ht="15" hidden="false" customHeight="false" outlineLevel="0" collapsed="false">
      <c r="A45" s="12"/>
      <c r="B45" s="12"/>
      <c r="C45" s="13"/>
      <c r="D45" s="13"/>
      <c r="E45" s="19"/>
      <c r="F45" s="2"/>
      <c r="G45" s="2"/>
    </row>
    <row r="46" customFormat="false" ht="15" hidden="false" customHeight="false" outlineLevel="0" collapsed="false">
      <c r="A46" s="12"/>
      <c r="B46" s="12"/>
      <c r="C46" s="13"/>
      <c r="D46" s="13"/>
      <c r="E46" s="19"/>
      <c r="F46" s="2"/>
      <c r="G46" s="2"/>
    </row>
    <row r="47" customFormat="false" ht="15" hidden="false" customHeight="false" outlineLevel="0" collapsed="false">
      <c r="A47" s="12"/>
      <c r="B47" s="12"/>
      <c r="C47" s="13"/>
      <c r="D47" s="13"/>
      <c r="E47" s="19"/>
      <c r="F47" s="2"/>
      <c r="G47" s="2"/>
    </row>
    <row r="48" customFormat="false" ht="15" hidden="false" customHeight="false" outlineLevel="0" collapsed="false">
      <c r="A48" s="12"/>
      <c r="B48" s="12"/>
      <c r="C48" s="13"/>
      <c r="D48" s="13"/>
      <c r="E48" s="19"/>
      <c r="F48" s="2"/>
      <c r="G48" s="2"/>
    </row>
    <row r="49" customFormat="false" ht="15" hidden="false" customHeight="false" outlineLevel="0" collapsed="false">
      <c r="A49" s="12"/>
      <c r="B49" s="12"/>
      <c r="C49" s="13"/>
      <c r="D49" s="13"/>
      <c r="E49" s="19"/>
      <c r="F49" s="2"/>
      <c r="G49" s="2"/>
    </row>
    <row r="50" customFormat="false" ht="15" hidden="false" customHeight="false" outlineLevel="0" collapsed="false">
      <c r="A50" s="12"/>
      <c r="B50" s="12"/>
      <c r="C50" s="13"/>
      <c r="D50" s="13"/>
      <c r="E50" s="19"/>
      <c r="F50" s="2"/>
      <c r="G50" s="2"/>
    </row>
    <row r="51" customFormat="false" ht="15" hidden="false" customHeight="false" outlineLevel="0" collapsed="false">
      <c r="A51" s="12"/>
      <c r="B51" s="12"/>
      <c r="C51" s="13"/>
      <c r="D51" s="13"/>
      <c r="E51" s="19"/>
      <c r="F51" s="2"/>
      <c r="G51" s="2"/>
    </row>
    <row r="52" customFormat="false" ht="15" hidden="false" customHeight="false" outlineLevel="0" collapsed="false">
      <c r="A52" s="12"/>
      <c r="B52" s="12"/>
      <c r="C52" s="13"/>
      <c r="D52" s="13"/>
      <c r="E52" s="19"/>
      <c r="F52" s="2"/>
      <c r="G52" s="2"/>
    </row>
    <row r="53" customFormat="false" ht="15" hidden="false" customHeight="false" outlineLevel="0" collapsed="false">
      <c r="A53" s="12"/>
      <c r="B53" s="12"/>
      <c r="C53" s="13"/>
      <c r="D53" s="13"/>
      <c r="E53" s="19"/>
      <c r="F53" s="2"/>
      <c r="G53" s="2"/>
    </row>
    <row r="54" customFormat="false" ht="15" hidden="false" customHeight="false" outlineLevel="0" collapsed="false">
      <c r="A54" s="12"/>
      <c r="B54" s="12"/>
      <c r="C54" s="13"/>
      <c r="D54" s="13"/>
      <c r="E54" s="19"/>
      <c r="F54" s="2"/>
      <c r="G54" s="2"/>
    </row>
    <row r="55" customFormat="false" ht="15" hidden="false" customHeight="false" outlineLevel="0" collapsed="false">
      <c r="A55" s="12"/>
      <c r="B55" s="12"/>
      <c r="C55" s="13"/>
      <c r="D55" s="13"/>
      <c r="E55" s="19"/>
      <c r="F55" s="2"/>
      <c r="G55" s="2"/>
    </row>
    <row r="56" customFormat="false" ht="15" hidden="false" customHeight="false" outlineLevel="0" collapsed="false">
      <c r="A56" s="12"/>
      <c r="B56" s="12"/>
      <c r="C56" s="13"/>
      <c r="D56" s="13"/>
      <c r="E56" s="19"/>
      <c r="F56" s="2"/>
      <c r="G56" s="2"/>
    </row>
    <row r="57" customFormat="false" ht="15" hidden="false" customHeight="false" outlineLevel="0" collapsed="false">
      <c r="A57" s="12"/>
      <c r="B57" s="12"/>
      <c r="C57" s="13"/>
      <c r="D57" s="13"/>
      <c r="E57" s="19"/>
      <c r="F57" s="2"/>
      <c r="G57" s="2"/>
    </row>
    <row r="58" customFormat="false" ht="15" hidden="false" customHeight="false" outlineLevel="0" collapsed="false">
      <c r="A58" s="12"/>
      <c r="B58" s="12"/>
      <c r="C58" s="13"/>
      <c r="D58" s="13"/>
      <c r="E58" s="19"/>
      <c r="F58" s="2"/>
      <c r="G58" s="2"/>
    </row>
    <row r="59" customFormat="false" ht="15" hidden="false" customHeight="false" outlineLevel="0" collapsed="false">
      <c r="A59" s="12"/>
      <c r="B59" s="12"/>
      <c r="C59" s="13"/>
      <c r="D59" s="13"/>
      <c r="E59" s="19"/>
      <c r="F59" s="2"/>
      <c r="G59" s="2"/>
    </row>
    <row r="60" customFormat="false" ht="15" hidden="false" customHeight="false" outlineLevel="0" collapsed="false">
      <c r="A60" s="12"/>
      <c r="B60" s="12"/>
      <c r="C60" s="13"/>
      <c r="D60" s="13"/>
      <c r="E60" s="19"/>
      <c r="F60" s="2"/>
      <c r="G60" s="2"/>
    </row>
    <row r="61" customFormat="false" ht="15" hidden="false" customHeight="false" outlineLevel="0" collapsed="false">
      <c r="A61" s="12"/>
      <c r="B61" s="12"/>
      <c r="C61" s="13"/>
      <c r="D61" s="13"/>
      <c r="E61" s="19"/>
      <c r="F61" s="2"/>
      <c r="G61" s="2"/>
    </row>
  </sheetData>
  <dataValidations count="1">
    <dataValidation allowBlank="true" errorStyle="stop" operator="between" showDropDown="false" showErrorMessage="false" showInputMessage="false" sqref="B2:B61" type="list">
      <formula1>"Rodrigo,Esposa,Casal"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5"/>
  </cols>
  <sheetData>
    <row r="1" customFormat="false" ht="30" hidden="false" customHeight="true" outlineLevel="0" collapsed="false">
      <c r="A1" s="11" t="s">
        <v>54</v>
      </c>
      <c r="B1" s="11" t="s">
        <v>17</v>
      </c>
      <c r="C1" s="11" t="s">
        <v>111</v>
      </c>
      <c r="D1" s="11" t="s">
        <v>112</v>
      </c>
      <c r="E1" s="11" t="s">
        <v>113</v>
      </c>
      <c r="F1" s="2"/>
      <c r="G1" s="10" t="s">
        <v>114</v>
      </c>
    </row>
    <row r="2" customFormat="false" ht="15" hidden="false" customHeight="false" outlineLevel="0" collapsed="false">
      <c r="A2" s="12" t="s">
        <v>58</v>
      </c>
      <c r="B2" s="12" t="s">
        <v>79</v>
      </c>
      <c r="C2" s="20" t="n">
        <v>3</v>
      </c>
      <c r="D2" s="20" t="n">
        <v>10</v>
      </c>
      <c r="E2" s="13" t="n">
        <v>8000</v>
      </c>
      <c r="F2" s="2"/>
      <c r="G2" s="2"/>
    </row>
    <row r="3" customFormat="false" ht="15" hidden="false" customHeight="false" outlineLevel="0" collapsed="false">
      <c r="A3" s="12" t="s">
        <v>70</v>
      </c>
      <c r="B3" s="12" t="s">
        <v>81</v>
      </c>
      <c r="C3" s="20" t="n">
        <v>25</v>
      </c>
      <c r="D3" s="20" t="n">
        <v>5</v>
      </c>
      <c r="E3" s="13" t="n">
        <v>5000</v>
      </c>
      <c r="F3" s="2"/>
      <c r="G3" s="2"/>
    </row>
    <row r="4" customFormat="false" ht="15" hidden="false" customHeight="false" outlineLevel="0" collapsed="false">
      <c r="A4" s="12"/>
      <c r="B4" s="12"/>
      <c r="C4" s="20"/>
      <c r="D4" s="20"/>
      <c r="E4" s="13"/>
      <c r="F4" s="2"/>
      <c r="G4" s="2"/>
    </row>
    <row r="5" customFormat="false" ht="15" hidden="false" customHeight="false" outlineLevel="0" collapsed="false">
      <c r="A5" s="12"/>
      <c r="B5" s="12"/>
      <c r="C5" s="20"/>
      <c r="D5" s="20"/>
      <c r="E5" s="13"/>
      <c r="F5" s="2"/>
      <c r="G5" s="2"/>
    </row>
    <row r="6" customFormat="false" ht="15" hidden="false" customHeight="false" outlineLevel="0" collapsed="false">
      <c r="A6" s="12"/>
      <c r="B6" s="12"/>
      <c r="C6" s="20"/>
      <c r="D6" s="20"/>
      <c r="E6" s="13"/>
      <c r="F6" s="2"/>
      <c r="G6" s="2"/>
    </row>
    <row r="7" customFormat="false" ht="15" hidden="false" customHeight="false" outlineLevel="0" collapsed="false">
      <c r="A7" s="12"/>
      <c r="B7" s="12"/>
      <c r="C7" s="20"/>
      <c r="D7" s="20"/>
      <c r="E7" s="13"/>
      <c r="F7" s="2"/>
      <c r="G7" s="2"/>
    </row>
    <row r="8" customFormat="false" ht="15" hidden="false" customHeight="false" outlineLevel="0" collapsed="false">
      <c r="A8" s="12"/>
      <c r="B8" s="12"/>
      <c r="C8" s="20"/>
      <c r="D8" s="20"/>
      <c r="E8" s="13"/>
      <c r="F8" s="2"/>
      <c r="G8" s="2"/>
    </row>
    <row r="9" customFormat="false" ht="15" hidden="false" customHeight="false" outlineLevel="0" collapsed="false">
      <c r="A9" s="12"/>
      <c r="B9" s="12"/>
      <c r="C9" s="20"/>
      <c r="D9" s="20"/>
      <c r="E9" s="13"/>
      <c r="F9" s="2"/>
      <c r="G9" s="2"/>
    </row>
    <row r="10" customFormat="false" ht="15" hidden="false" customHeight="false" outlineLevel="0" collapsed="false">
      <c r="A10" s="12"/>
      <c r="B10" s="12"/>
      <c r="C10" s="20"/>
      <c r="D10" s="20"/>
      <c r="E10" s="13"/>
      <c r="F10" s="2"/>
      <c r="G10" s="2"/>
    </row>
    <row r="11" customFormat="false" ht="15" hidden="false" customHeight="false" outlineLevel="0" collapsed="false">
      <c r="A11" s="12"/>
      <c r="B11" s="12"/>
      <c r="C11" s="20"/>
      <c r="D11" s="20"/>
      <c r="E11" s="13"/>
      <c r="F11" s="2"/>
      <c r="G11" s="2"/>
    </row>
    <row r="12" customFormat="false" ht="15" hidden="false" customHeight="false" outlineLevel="0" collapsed="false">
      <c r="A12" s="12"/>
      <c r="B12" s="12"/>
      <c r="C12" s="20"/>
      <c r="D12" s="20"/>
      <c r="E12" s="13"/>
      <c r="F12" s="2"/>
      <c r="G12" s="2"/>
    </row>
    <row r="13" customFormat="false" ht="15" hidden="false" customHeight="false" outlineLevel="0" collapsed="false">
      <c r="A13" s="12"/>
      <c r="B13" s="12"/>
      <c r="C13" s="20"/>
      <c r="D13" s="20"/>
      <c r="E13" s="13"/>
      <c r="F13" s="2"/>
      <c r="G13" s="2"/>
    </row>
    <row r="14" customFormat="false" ht="15" hidden="false" customHeight="false" outlineLevel="0" collapsed="false">
      <c r="A14" s="12"/>
      <c r="B14" s="12"/>
      <c r="C14" s="20"/>
      <c r="D14" s="20"/>
      <c r="E14" s="13"/>
      <c r="F14" s="2"/>
      <c r="G14" s="2"/>
    </row>
    <row r="15" customFormat="false" ht="15" hidden="false" customHeight="false" outlineLevel="0" collapsed="false">
      <c r="A15" s="12"/>
      <c r="B15" s="12"/>
      <c r="C15" s="20"/>
      <c r="D15" s="20"/>
      <c r="E15" s="13"/>
      <c r="F15" s="2"/>
      <c r="G15" s="2"/>
    </row>
    <row r="16" customFormat="false" ht="15" hidden="false" customHeight="false" outlineLevel="0" collapsed="false">
      <c r="A16" s="12"/>
      <c r="B16" s="12"/>
      <c r="C16" s="20"/>
      <c r="D16" s="20"/>
      <c r="E16" s="13"/>
      <c r="F16" s="2"/>
      <c r="G16" s="2"/>
    </row>
    <row r="17" customFormat="false" ht="15" hidden="false" customHeight="false" outlineLevel="0" collapsed="false">
      <c r="A17" s="12"/>
      <c r="B17" s="12"/>
      <c r="C17" s="20"/>
      <c r="D17" s="20"/>
      <c r="E17" s="13"/>
      <c r="F17" s="2"/>
      <c r="G17" s="2"/>
    </row>
    <row r="18" customFormat="false" ht="15" hidden="false" customHeight="false" outlineLevel="0" collapsed="false">
      <c r="A18" s="12"/>
      <c r="B18" s="12"/>
      <c r="C18" s="20"/>
      <c r="D18" s="20"/>
      <c r="E18" s="13"/>
      <c r="F18" s="2"/>
      <c r="G18" s="2"/>
    </row>
    <row r="19" customFormat="false" ht="15" hidden="false" customHeight="false" outlineLevel="0" collapsed="false">
      <c r="A19" s="12"/>
      <c r="B19" s="12"/>
      <c r="C19" s="20"/>
      <c r="D19" s="20"/>
      <c r="E19" s="13"/>
      <c r="F19" s="2"/>
      <c r="G19" s="2"/>
    </row>
    <row r="20" customFormat="false" ht="15" hidden="false" customHeight="false" outlineLevel="0" collapsed="false">
      <c r="A20" s="12"/>
      <c r="B20" s="12"/>
      <c r="C20" s="20"/>
      <c r="D20" s="20"/>
      <c r="E20" s="13"/>
      <c r="F20" s="2"/>
      <c r="G20" s="2"/>
    </row>
    <row r="21" customFormat="false" ht="15" hidden="false" customHeight="false" outlineLevel="0" collapsed="false">
      <c r="A21" s="12"/>
      <c r="B21" s="12"/>
      <c r="C21" s="20"/>
      <c r="D21" s="20"/>
      <c r="E21" s="13"/>
      <c r="F21" s="2"/>
      <c r="G21" s="2"/>
    </row>
    <row r="22" customFormat="false" ht="15" hidden="false" customHeight="false" outlineLevel="0" collapsed="false">
      <c r="A22" s="12"/>
      <c r="B22" s="12"/>
      <c r="C22" s="20"/>
      <c r="D22" s="20"/>
      <c r="E22" s="13"/>
      <c r="F22" s="2"/>
      <c r="G22" s="2"/>
    </row>
    <row r="23" customFormat="false" ht="15" hidden="false" customHeight="false" outlineLevel="0" collapsed="false">
      <c r="A23" s="12"/>
      <c r="B23" s="12"/>
      <c r="C23" s="20"/>
      <c r="D23" s="20"/>
      <c r="E23" s="13"/>
      <c r="F23" s="2"/>
      <c r="G23" s="2"/>
    </row>
    <row r="24" customFormat="false" ht="15" hidden="false" customHeight="false" outlineLevel="0" collapsed="false">
      <c r="A24" s="12"/>
      <c r="B24" s="12"/>
      <c r="C24" s="20"/>
      <c r="D24" s="20"/>
      <c r="E24" s="13"/>
      <c r="F24" s="2"/>
      <c r="G24" s="2"/>
    </row>
    <row r="25" customFormat="false" ht="15" hidden="false" customHeight="false" outlineLevel="0" collapsed="false">
      <c r="A25" s="12"/>
      <c r="B25" s="12"/>
      <c r="C25" s="20"/>
      <c r="D25" s="20"/>
      <c r="E25" s="13"/>
      <c r="F25" s="2"/>
      <c r="G25" s="2"/>
    </row>
    <row r="26" customFormat="false" ht="15" hidden="false" customHeight="false" outlineLevel="0" collapsed="false">
      <c r="A26" s="12"/>
      <c r="B26" s="12"/>
      <c r="C26" s="20"/>
      <c r="D26" s="20"/>
      <c r="E26" s="13"/>
      <c r="F26" s="2"/>
      <c r="G26" s="2"/>
    </row>
    <row r="27" customFormat="false" ht="15" hidden="false" customHeight="false" outlineLevel="0" collapsed="false">
      <c r="A27" s="12"/>
      <c r="B27" s="12"/>
      <c r="C27" s="20"/>
      <c r="D27" s="20"/>
      <c r="E27" s="13"/>
      <c r="F27" s="2"/>
      <c r="G27" s="2"/>
    </row>
    <row r="28" customFormat="false" ht="15" hidden="false" customHeight="false" outlineLevel="0" collapsed="false">
      <c r="A28" s="12"/>
      <c r="B28" s="12"/>
      <c r="C28" s="20"/>
      <c r="D28" s="20"/>
      <c r="E28" s="13"/>
      <c r="F28" s="2"/>
      <c r="G28" s="2"/>
    </row>
    <row r="29" customFormat="false" ht="15" hidden="false" customHeight="false" outlineLevel="0" collapsed="false">
      <c r="A29" s="12"/>
      <c r="B29" s="12"/>
      <c r="C29" s="20"/>
      <c r="D29" s="20"/>
      <c r="E29" s="13"/>
      <c r="F29" s="2"/>
      <c r="G29" s="2"/>
    </row>
    <row r="30" customFormat="false" ht="15" hidden="false" customHeight="false" outlineLevel="0" collapsed="false">
      <c r="A30" s="12"/>
      <c r="B30" s="12"/>
      <c r="C30" s="20"/>
      <c r="D30" s="20"/>
      <c r="E30" s="13"/>
      <c r="F30" s="2"/>
      <c r="G30" s="2"/>
    </row>
    <row r="31" customFormat="false" ht="15" hidden="false" customHeight="false" outlineLevel="0" collapsed="false">
      <c r="A31" s="12"/>
      <c r="B31" s="12"/>
      <c r="C31" s="20"/>
      <c r="D31" s="20"/>
      <c r="E31" s="13"/>
      <c r="F31" s="2"/>
      <c r="G31" s="2"/>
    </row>
  </sheetData>
  <dataValidations count="1">
    <dataValidation allowBlank="true" errorStyle="stop" operator="between" showDropDown="false" showErrorMessage="false" showInputMessage="false" sqref="B2:B31" type="list">
      <formula1>"Rodrigo,Esposa,Casal"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72"/>
  </cols>
  <sheetData>
    <row r="1" customFormat="false" ht="30" hidden="false" customHeight="true" outlineLevel="0" collapsed="false">
      <c r="A1" s="11" t="s">
        <v>115</v>
      </c>
      <c r="B1" s="11" t="s">
        <v>116</v>
      </c>
      <c r="C1" s="11" t="s">
        <v>37</v>
      </c>
      <c r="D1" s="11" t="s">
        <v>117</v>
      </c>
    </row>
    <row r="2" customFormat="false" ht="15" hidden="false" customHeight="false" outlineLevel="0" collapsed="false">
      <c r="A2" s="21" t="s">
        <v>118</v>
      </c>
      <c r="B2" s="6" t="s">
        <v>119</v>
      </c>
      <c r="C2" s="22" t="s">
        <v>79</v>
      </c>
      <c r="D2" s="10" t="s">
        <v>120</v>
      </c>
    </row>
    <row r="3" customFormat="false" ht="15" hidden="false" customHeight="false" outlineLevel="0" collapsed="false">
      <c r="A3" s="21" t="s">
        <v>121</v>
      </c>
      <c r="B3" s="6" t="s">
        <v>122</v>
      </c>
      <c r="C3" s="22" t="s">
        <v>81</v>
      </c>
      <c r="D3" s="10" t="s">
        <v>123</v>
      </c>
    </row>
    <row r="4" customFormat="false" ht="15" hidden="false" customHeight="false" outlineLevel="0" collapsed="false">
      <c r="A4" s="21" t="s">
        <v>124</v>
      </c>
      <c r="B4" s="6" t="s">
        <v>125</v>
      </c>
      <c r="C4" s="22" t="s">
        <v>126</v>
      </c>
      <c r="D4" s="10" t="s">
        <v>127</v>
      </c>
    </row>
    <row r="5" customFormat="false" ht="15" hidden="false" customHeight="false" outlineLevel="0" collapsed="false">
      <c r="A5" s="21" t="s">
        <v>128</v>
      </c>
      <c r="B5" s="6" t="s">
        <v>129</v>
      </c>
      <c r="C5" s="23" t="n">
        <v>0.6</v>
      </c>
      <c r="D5" s="10" t="s">
        <v>130</v>
      </c>
    </row>
    <row r="6" customFormat="false" ht="15" hidden="false" customHeight="false" outlineLevel="0" collapsed="false">
      <c r="A6" s="21" t="s">
        <v>131</v>
      </c>
      <c r="B6" s="6" t="s">
        <v>132</v>
      </c>
      <c r="C6" s="24" t="n">
        <v>4500</v>
      </c>
      <c r="D6" s="10" t="s">
        <v>133</v>
      </c>
    </row>
    <row r="7" customFormat="false" ht="15" hidden="false" customHeight="false" outlineLevel="0" collapsed="false">
      <c r="A7" s="21" t="s">
        <v>134</v>
      </c>
      <c r="B7" s="6" t="s">
        <v>135</v>
      </c>
      <c r="C7" s="23" t="n">
        <v>0.045</v>
      </c>
      <c r="D7" s="10" t="s">
        <v>136</v>
      </c>
    </row>
    <row r="8" customFormat="false" ht="15" hidden="false" customHeight="false" outlineLevel="0" collapsed="false">
      <c r="A8" s="21" t="s">
        <v>137</v>
      </c>
      <c r="B8" s="6" t="s">
        <v>138</v>
      </c>
      <c r="C8" s="23" t="n">
        <v>0.05</v>
      </c>
      <c r="D8" s="10" t="s">
        <v>139</v>
      </c>
    </row>
    <row r="9" customFormat="false" ht="15" hidden="false" customHeight="false" outlineLevel="0" collapsed="false">
      <c r="A9" s="21" t="s">
        <v>140</v>
      </c>
      <c r="B9" s="6" t="s">
        <v>141</v>
      </c>
      <c r="C9" s="25" t="n">
        <v>5</v>
      </c>
      <c r="D9" s="10" t="s">
        <v>142</v>
      </c>
    </row>
    <row r="10" customFormat="false" ht="15" hidden="false" customHeight="false" outlineLevel="0" collapsed="false">
      <c r="A10" s="21" t="s">
        <v>143</v>
      </c>
      <c r="B10" s="6" t="s">
        <v>144</v>
      </c>
      <c r="C10" s="25" t="n">
        <v>24</v>
      </c>
      <c r="D10" s="10" t="s">
        <v>145</v>
      </c>
    </row>
    <row r="11" customFormat="false" ht="15" hidden="false" customHeight="false" outlineLevel="0" collapsed="false">
      <c r="A11" s="21" t="s">
        <v>146</v>
      </c>
      <c r="B11" s="6" t="s">
        <v>147</v>
      </c>
      <c r="C11" s="25" t="n">
        <v>6</v>
      </c>
      <c r="D11" s="10" t="s">
        <v>148</v>
      </c>
    </row>
    <row r="12" customFormat="false" ht="15" hidden="false" customHeight="false" outlineLevel="0" collapsed="false">
      <c r="A12" s="21" t="s">
        <v>149</v>
      </c>
      <c r="B12" s="6" t="s">
        <v>150</v>
      </c>
      <c r="C12" s="23" t="n">
        <v>-0.05</v>
      </c>
      <c r="D12" s="10" t="s">
        <v>151</v>
      </c>
    </row>
    <row r="13" customFormat="false" ht="15" hidden="false" customHeight="false" outlineLevel="0" collapsed="false">
      <c r="A13" s="21" t="s">
        <v>152</v>
      </c>
      <c r="B13" s="6" t="s">
        <v>153</v>
      </c>
      <c r="C13" s="23" t="n">
        <v>-0.01</v>
      </c>
      <c r="D13" s="10" t="s">
        <v>154</v>
      </c>
    </row>
    <row r="14" customFormat="false" ht="15" hidden="false" customHeight="false" outlineLevel="0" collapsed="false">
      <c r="A14" s="21" t="s">
        <v>155</v>
      </c>
      <c r="B14" s="6" t="s">
        <v>156</v>
      </c>
      <c r="C14" s="23" t="n">
        <v>0.15</v>
      </c>
      <c r="D14" s="10" t="s">
        <v>157</v>
      </c>
    </row>
    <row r="15" customFormat="false" ht="15" hidden="false" customHeight="false" outlineLevel="0" collapsed="false">
      <c r="A15" s="21" t="s">
        <v>158</v>
      </c>
      <c r="B15" s="6" t="s">
        <v>159</v>
      </c>
      <c r="C15" s="23" t="n">
        <v>0.02</v>
      </c>
      <c r="D15" s="10" t="s">
        <v>160</v>
      </c>
    </row>
  </sheetData>
  <dataValidations count="1">
    <dataValidation allowBlank="true" errorStyle="stop" operator="between" showDropDown="false" showErrorMessage="false" showInputMessage="false" sqref="C4" type="list">
      <formula1>"Proporcional à renda,Igual (50/50),Percentual fixo"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4"/>
  </cols>
  <sheetData>
    <row r="1" customFormat="false" ht="30" hidden="false" customHeight="true" outlineLevel="0" collapsed="false">
      <c r="A1" s="11" t="s">
        <v>161</v>
      </c>
      <c r="B1" s="11" t="s">
        <v>35</v>
      </c>
      <c r="C1" s="11" t="s">
        <v>36</v>
      </c>
      <c r="D1" s="11" t="s">
        <v>17</v>
      </c>
      <c r="E1" s="11" t="s">
        <v>53</v>
      </c>
      <c r="F1" s="11" t="s">
        <v>37</v>
      </c>
    </row>
    <row r="2" customFormat="false" ht="15" hidden="false" customHeight="false" outlineLevel="0" collapsed="false">
      <c r="A2" s="14" t="n">
        <v>46144</v>
      </c>
      <c r="B2" s="12" t="s">
        <v>69</v>
      </c>
      <c r="C2" s="12" t="s">
        <v>60</v>
      </c>
      <c r="D2" s="12" t="s">
        <v>81</v>
      </c>
      <c r="E2" s="12" t="s">
        <v>162</v>
      </c>
      <c r="F2" s="13" t="n">
        <v>280</v>
      </c>
    </row>
    <row r="3" customFormat="false" ht="15" hidden="false" customHeight="false" outlineLevel="0" collapsed="false">
      <c r="A3" s="14" t="n">
        <v>46144</v>
      </c>
      <c r="B3" s="12" t="s">
        <v>82</v>
      </c>
      <c r="C3" s="12" t="s">
        <v>78</v>
      </c>
      <c r="D3" s="12" t="s">
        <v>101</v>
      </c>
      <c r="E3" s="12" t="s">
        <v>162</v>
      </c>
      <c r="F3" s="13" t="n">
        <v>299.19</v>
      </c>
    </row>
    <row r="4" customFormat="false" ht="15" hidden="false" customHeight="false" outlineLevel="0" collapsed="false">
      <c r="A4" s="14" t="n">
        <v>46144</v>
      </c>
      <c r="B4" s="12" t="s">
        <v>88</v>
      </c>
      <c r="C4" s="12" t="s">
        <v>86</v>
      </c>
      <c r="D4" s="12" t="s">
        <v>101</v>
      </c>
      <c r="E4" s="12" t="s">
        <v>162</v>
      </c>
      <c r="F4" s="13" t="n">
        <v>683.05</v>
      </c>
    </row>
    <row r="5" customFormat="false" ht="15" hidden="false" customHeight="false" outlineLevel="0" collapsed="false">
      <c r="A5" s="14" t="n">
        <v>46144</v>
      </c>
      <c r="B5" s="12" t="s">
        <v>90</v>
      </c>
      <c r="C5" s="12" t="s">
        <v>66</v>
      </c>
      <c r="D5" s="12" t="s">
        <v>101</v>
      </c>
      <c r="E5" s="12" t="s">
        <v>162</v>
      </c>
      <c r="F5" s="13" t="n">
        <v>484.2</v>
      </c>
    </row>
    <row r="6" customFormat="false" ht="15" hidden="false" customHeight="false" outlineLevel="0" collapsed="false">
      <c r="A6" s="14" t="n">
        <v>46145</v>
      </c>
      <c r="B6" s="12" t="s">
        <v>72</v>
      </c>
      <c r="C6" s="12" t="s">
        <v>73</v>
      </c>
      <c r="D6" s="12" t="s">
        <v>81</v>
      </c>
      <c r="E6" s="12" t="s">
        <v>162</v>
      </c>
      <c r="F6" s="13" t="n">
        <v>248.36</v>
      </c>
    </row>
    <row r="7" customFormat="false" ht="15" hidden="false" customHeight="false" outlineLevel="0" collapsed="false">
      <c r="A7" s="14" t="n">
        <v>46145</v>
      </c>
      <c r="B7" s="12" t="s">
        <v>74</v>
      </c>
      <c r="C7" s="12" t="s">
        <v>75</v>
      </c>
      <c r="D7" s="12" t="s">
        <v>81</v>
      </c>
      <c r="E7" s="12" t="s">
        <v>162</v>
      </c>
      <c r="F7" s="13" t="n">
        <v>183.25</v>
      </c>
    </row>
    <row r="8" customFormat="false" ht="15" hidden="false" customHeight="false" outlineLevel="0" collapsed="false">
      <c r="A8" s="14" t="n">
        <v>46146</v>
      </c>
      <c r="B8" s="12" t="s">
        <v>83</v>
      </c>
      <c r="C8" s="12" t="s">
        <v>78</v>
      </c>
      <c r="D8" s="12" t="s">
        <v>101</v>
      </c>
      <c r="E8" s="12" t="s">
        <v>162</v>
      </c>
      <c r="F8" s="13" t="n">
        <v>167.86</v>
      </c>
    </row>
    <row r="9" customFormat="false" ht="15" hidden="false" customHeight="false" outlineLevel="0" collapsed="false">
      <c r="A9" s="14" t="n">
        <v>46147</v>
      </c>
      <c r="B9" s="12" t="s">
        <v>41</v>
      </c>
      <c r="C9" s="12" t="s">
        <v>42</v>
      </c>
      <c r="D9" s="12" t="s">
        <v>79</v>
      </c>
      <c r="E9" s="12" t="s">
        <v>163</v>
      </c>
      <c r="F9" s="13" t="n">
        <v>8200</v>
      </c>
    </row>
    <row r="10" customFormat="false" ht="15" hidden="false" customHeight="false" outlineLevel="0" collapsed="false">
      <c r="A10" s="14" t="n">
        <v>46147</v>
      </c>
      <c r="B10" s="12" t="s">
        <v>41</v>
      </c>
      <c r="C10" s="12" t="s">
        <v>42</v>
      </c>
      <c r="D10" s="12" t="s">
        <v>81</v>
      </c>
      <c r="E10" s="12" t="s">
        <v>163</v>
      </c>
      <c r="F10" s="13" t="n">
        <v>5800</v>
      </c>
    </row>
    <row r="11" customFormat="false" ht="15" hidden="false" customHeight="false" outlineLevel="0" collapsed="false">
      <c r="A11" s="14" t="n">
        <v>46147</v>
      </c>
      <c r="B11" s="12" t="s">
        <v>59</v>
      </c>
      <c r="C11" s="12" t="s">
        <v>60</v>
      </c>
      <c r="D11" s="12" t="s">
        <v>79</v>
      </c>
      <c r="E11" s="12" t="s">
        <v>162</v>
      </c>
      <c r="F11" s="13" t="n">
        <v>650</v>
      </c>
    </row>
    <row r="12" customFormat="false" ht="15" hidden="false" customHeight="false" outlineLevel="0" collapsed="false">
      <c r="A12" s="14" t="n">
        <v>46147</v>
      </c>
      <c r="B12" s="12" t="s">
        <v>164</v>
      </c>
      <c r="C12" s="12" t="s">
        <v>75</v>
      </c>
      <c r="D12" s="12" t="s">
        <v>79</v>
      </c>
      <c r="E12" s="12" t="s">
        <v>162</v>
      </c>
      <c r="F12" s="13" t="n">
        <v>450</v>
      </c>
    </row>
    <row r="13" customFormat="false" ht="15" hidden="false" customHeight="false" outlineLevel="0" collapsed="false">
      <c r="A13" s="14" t="n">
        <v>46152</v>
      </c>
      <c r="B13" s="12" t="s">
        <v>165</v>
      </c>
      <c r="C13" s="12" t="s">
        <v>100</v>
      </c>
      <c r="D13" s="12" t="s">
        <v>101</v>
      </c>
      <c r="E13" s="12" t="s">
        <v>162</v>
      </c>
      <c r="F13" s="13" t="n">
        <v>320</v>
      </c>
    </row>
    <row r="14" customFormat="false" ht="15" hidden="false" customHeight="false" outlineLevel="0" collapsed="false">
      <c r="A14" s="14" t="n">
        <v>46153</v>
      </c>
      <c r="B14" s="12" t="s">
        <v>55</v>
      </c>
      <c r="C14" s="12" t="s">
        <v>56</v>
      </c>
      <c r="D14" s="12" t="s">
        <v>79</v>
      </c>
      <c r="E14" s="12" t="s">
        <v>162</v>
      </c>
      <c r="F14" s="13" t="n">
        <v>60</v>
      </c>
    </row>
    <row r="15" customFormat="false" ht="15" hidden="false" customHeight="false" outlineLevel="0" collapsed="false">
      <c r="A15" s="14" t="n">
        <v>46154</v>
      </c>
      <c r="B15" s="12" t="s">
        <v>55</v>
      </c>
      <c r="C15" s="12" t="s">
        <v>56</v>
      </c>
      <c r="D15" s="12" t="s">
        <v>81</v>
      </c>
      <c r="E15" s="12" t="s">
        <v>162</v>
      </c>
      <c r="F15" s="13" t="n">
        <v>55</v>
      </c>
    </row>
    <row r="16" customFormat="false" ht="15" hidden="false" customHeight="false" outlineLevel="0" collapsed="false">
      <c r="A16" s="14" t="n">
        <v>46155</v>
      </c>
      <c r="B16" s="12" t="s">
        <v>61</v>
      </c>
      <c r="C16" s="12" t="s">
        <v>60</v>
      </c>
      <c r="D16" s="12" t="s">
        <v>79</v>
      </c>
      <c r="E16" s="12" t="s">
        <v>162</v>
      </c>
      <c r="F16" s="13" t="n">
        <v>120</v>
      </c>
    </row>
    <row r="17" customFormat="false" ht="15" hidden="false" customHeight="false" outlineLevel="0" collapsed="false">
      <c r="A17" s="14" t="n">
        <v>46155</v>
      </c>
      <c r="B17" s="12" t="s">
        <v>89</v>
      </c>
      <c r="C17" s="12" t="s">
        <v>66</v>
      </c>
      <c r="D17" s="12" t="s">
        <v>101</v>
      </c>
      <c r="E17" s="12" t="s">
        <v>162</v>
      </c>
      <c r="F17" s="13" t="n">
        <v>90</v>
      </c>
    </row>
    <row r="18" customFormat="false" ht="15" hidden="false" customHeight="false" outlineLevel="0" collapsed="false">
      <c r="A18" s="14" t="n">
        <v>46156</v>
      </c>
      <c r="B18" s="12" t="s">
        <v>80</v>
      </c>
      <c r="C18" s="12" t="s">
        <v>78</v>
      </c>
      <c r="D18" s="12" t="s">
        <v>101</v>
      </c>
      <c r="E18" s="12" t="s">
        <v>162</v>
      </c>
      <c r="F18" s="13" t="n">
        <v>480</v>
      </c>
    </row>
    <row r="19" customFormat="false" ht="15" hidden="false" customHeight="false" outlineLevel="0" collapsed="false">
      <c r="A19" s="14" t="n">
        <v>46157</v>
      </c>
      <c r="B19" s="12" t="s">
        <v>166</v>
      </c>
      <c r="C19" s="12" t="s">
        <v>103</v>
      </c>
      <c r="D19" s="12" t="s">
        <v>81</v>
      </c>
      <c r="E19" s="12" t="s">
        <v>162</v>
      </c>
      <c r="F19" s="13" t="n">
        <v>280</v>
      </c>
    </row>
    <row r="20" customFormat="false" ht="15" hidden="false" customHeight="false" outlineLevel="0" collapsed="false">
      <c r="A20" s="14" t="n">
        <v>46159</v>
      </c>
      <c r="B20" s="12" t="s">
        <v>71</v>
      </c>
      <c r="C20" s="12" t="s">
        <v>63</v>
      </c>
      <c r="D20" s="12" t="s">
        <v>81</v>
      </c>
      <c r="E20" s="12" t="s">
        <v>162</v>
      </c>
      <c r="F20" s="13" t="n">
        <v>271.76</v>
      </c>
    </row>
    <row r="21" customFormat="false" ht="15" hidden="false" customHeight="false" outlineLevel="0" collapsed="false">
      <c r="A21" s="14" t="n">
        <v>46160</v>
      </c>
      <c r="B21" s="12" t="s">
        <v>77</v>
      </c>
      <c r="C21" s="12" t="s">
        <v>78</v>
      </c>
      <c r="D21" s="12" t="s">
        <v>101</v>
      </c>
      <c r="E21" s="12" t="s">
        <v>162</v>
      </c>
      <c r="F21" s="13" t="n">
        <v>2100</v>
      </c>
    </row>
    <row r="22" customFormat="false" ht="15" hidden="false" customHeight="false" outlineLevel="0" collapsed="false">
      <c r="A22" s="14" t="n">
        <v>46161</v>
      </c>
      <c r="B22" s="12" t="s">
        <v>59</v>
      </c>
      <c r="C22" s="12" t="s">
        <v>60</v>
      </c>
      <c r="D22" s="12" t="s">
        <v>81</v>
      </c>
      <c r="E22" s="12" t="s">
        <v>162</v>
      </c>
      <c r="F22" s="13" t="n">
        <v>580</v>
      </c>
    </row>
    <row r="23" customFormat="false" ht="15" hidden="false" customHeight="false" outlineLevel="0" collapsed="false">
      <c r="A23" s="14" t="n">
        <v>46163</v>
      </c>
      <c r="B23" s="12" t="s">
        <v>62</v>
      </c>
      <c r="C23" s="12" t="s">
        <v>63</v>
      </c>
      <c r="D23" s="12" t="s">
        <v>79</v>
      </c>
      <c r="E23" s="12" t="s">
        <v>162</v>
      </c>
      <c r="F23" s="13" t="n">
        <v>377.69</v>
      </c>
    </row>
    <row r="24" customFormat="false" ht="15" hidden="false" customHeight="false" outlineLevel="0" collapsed="false">
      <c r="A24" s="14" t="n">
        <v>46163</v>
      </c>
      <c r="B24" s="12" t="s">
        <v>84</v>
      </c>
      <c r="C24" s="12" t="s">
        <v>78</v>
      </c>
      <c r="D24" s="12" t="s">
        <v>101</v>
      </c>
      <c r="E24" s="12" t="s">
        <v>162</v>
      </c>
      <c r="F24" s="13" t="n">
        <v>120</v>
      </c>
    </row>
    <row r="25" customFormat="false" ht="15" hidden="false" customHeight="false" outlineLevel="0" collapsed="false">
      <c r="A25" s="14" t="n">
        <v>46163</v>
      </c>
      <c r="B25" s="12" t="s">
        <v>85</v>
      </c>
      <c r="C25" s="12" t="s">
        <v>86</v>
      </c>
      <c r="D25" s="12" t="s">
        <v>101</v>
      </c>
      <c r="E25" s="12" t="s">
        <v>162</v>
      </c>
      <c r="F25" s="13" t="n">
        <v>1685.12</v>
      </c>
    </row>
    <row r="26" customFormat="false" ht="15" hidden="false" customHeight="false" outlineLevel="0" collapsed="false">
      <c r="A26" s="14" t="n">
        <v>46169</v>
      </c>
      <c r="B26" s="12" t="s">
        <v>65</v>
      </c>
      <c r="C26" s="12" t="s">
        <v>66</v>
      </c>
      <c r="D26" s="12" t="s">
        <v>79</v>
      </c>
      <c r="E26" s="12" t="s">
        <v>162</v>
      </c>
      <c r="F26" s="13" t="n">
        <v>258.59</v>
      </c>
    </row>
    <row r="27" customFormat="false" ht="15" hidden="false" customHeight="false" outlineLevel="0" collapsed="false">
      <c r="A27" s="14" t="n">
        <v>46175</v>
      </c>
      <c r="B27" s="12" t="s">
        <v>55</v>
      </c>
      <c r="C27" s="12" t="s">
        <v>56</v>
      </c>
      <c r="D27" s="12" t="s">
        <v>79</v>
      </c>
      <c r="E27" s="12" t="s">
        <v>162</v>
      </c>
      <c r="F27" s="13" t="n">
        <v>60</v>
      </c>
    </row>
    <row r="28" customFormat="false" ht="15" hidden="false" customHeight="false" outlineLevel="0" collapsed="false">
      <c r="A28" s="14" t="n">
        <v>46175</v>
      </c>
      <c r="B28" s="12" t="s">
        <v>83</v>
      </c>
      <c r="C28" s="12" t="s">
        <v>78</v>
      </c>
      <c r="D28" s="12" t="s">
        <v>101</v>
      </c>
      <c r="E28" s="12" t="s">
        <v>162</v>
      </c>
      <c r="F28" s="13" t="n">
        <v>149.46</v>
      </c>
    </row>
    <row r="29" customFormat="false" ht="15" hidden="false" customHeight="false" outlineLevel="0" collapsed="false">
      <c r="A29" s="14" t="n">
        <v>46177</v>
      </c>
      <c r="B29" s="12" t="s">
        <v>72</v>
      </c>
      <c r="C29" s="12" t="s">
        <v>73</v>
      </c>
      <c r="D29" s="12" t="s">
        <v>81</v>
      </c>
      <c r="E29" s="12" t="s">
        <v>162</v>
      </c>
      <c r="F29" s="13" t="n">
        <v>263.16</v>
      </c>
    </row>
    <row r="30" customFormat="false" ht="15" hidden="false" customHeight="false" outlineLevel="0" collapsed="false">
      <c r="A30" s="14" t="n">
        <v>46177</v>
      </c>
      <c r="B30" s="12" t="s">
        <v>77</v>
      </c>
      <c r="C30" s="12" t="s">
        <v>78</v>
      </c>
      <c r="D30" s="12" t="s">
        <v>101</v>
      </c>
      <c r="E30" s="12" t="s">
        <v>162</v>
      </c>
      <c r="F30" s="13" t="n">
        <v>2100</v>
      </c>
    </row>
    <row r="31" customFormat="false" ht="15" hidden="false" customHeight="false" outlineLevel="0" collapsed="false">
      <c r="A31" s="14" t="n">
        <v>46178</v>
      </c>
      <c r="B31" s="12" t="s">
        <v>41</v>
      </c>
      <c r="C31" s="12" t="s">
        <v>42</v>
      </c>
      <c r="D31" s="12" t="s">
        <v>79</v>
      </c>
      <c r="E31" s="12" t="s">
        <v>163</v>
      </c>
      <c r="F31" s="13" t="n">
        <v>8200</v>
      </c>
    </row>
    <row r="32" customFormat="false" ht="15" hidden="false" customHeight="false" outlineLevel="0" collapsed="false">
      <c r="A32" s="14" t="n">
        <v>46178</v>
      </c>
      <c r="B32" s="12" t="s">
        <v>41</v>
      </c>
      <c r="C32" s="12" t="s">
        <v>42</v>
      </c>
      <c r="D32" s="12" t="s">
        <v>81</v>
      </c>
      <c r="E32" s="12" t="s">
        <v>163</v>
      </c>
      <c r="F32" s="13" t="n">
        <v>5800</v>
      </c>
    </row>
    <row r="33" customFormat="false" ht="15" hidden="false" customHeight="false" outlineLevel="0" collapsed="false">
      <c r="A33" s="14" t="n">
        <v>46178</v>
      </c>
      <c r="B33" s="12" t="s">
        <v>62</v>
      </c>
      <c r="C33" s="12" t="s">
        <v>63</v>
      </c>
      <c r="D33" s="12" t="s">
        <v>79</v>
      </c>
      <c r="E33" s="12" t="s">
        <v>162</v>
      </c>
      <c r="F33" s="13" t="n">
        <v>421.13</v>
      </c>
    </row>
    <row r="34" customFormat="false" ht="15" hidden="false" customHeight="false" outlineLevel="0" collapsed="false">
      <c r="A34" s="14" t="n">
        <v>46178</v>
      </c>
      <c r="B34" s="12" t="s">
        <v>65</v>
      </c>
      <c r="C34" s="12" t="s">
        <v>66</v>
      </c>
      <c r="D34" s="12" t="s">
        <v>79</v>
      </c>
      <c r="E34" s="12" t="s">
        <v>162</v>
      </c>
      <c r="F34" s="13" t="n">
        <v>259.07</v>
      </c>
    </row>
    <row r="35" customFormat="false" ht="15" hidden="false" customHeight="false" outlineLevel="0" collapsed="false">
      <c r="A35" s="14" t="n">
        <v>46178</v>
      </c>
      <c r="B35" s="12" t="s">
        <v>164</v>
      </c>
      <c r="C35" s="12" t="s">
        <v>75</v>
      </c>
      <c r="D35" s="12" t="s">
        <v>79</v>
      </c>
      <c r="E35" s="12" t="s">
        <v>162</v>
      </c>
      <c r="F35" s="13" t="n">
        <v>450</v>
      </c>
    </row>
    <row r="36" customFormat="false" ht="15" hidden="false" customHeight="false" outlineLevel="0" collapsed="false">
      <c r="A36" s="14" t="n">
        <v>46183</v>
      </c>
      <c r="B36" s="12" t="s">
        <v>59</v>
      </c>
      <c r="C36" s="12" t="s">
        <v>60</v>
      </c>
      <c r="D36" s="12" t="s">
        <v>81</v>
      </c>
      <c r="E36" s="12" t="s">
        <v>162</v>
      </c>
      <c r="F36" s="13" t="n">
        <v>580</v>
      </c>
    </row>
    <row r="37" customFormat="false" ht="15" hidden="false" customHeight="false" outlineLevel="0" collapsed="false">
      <c r="A37" s="14" t="n">
        <v>46183</v>
      </c>
      <c r="B37" s="12" t="s">
        <v>165</v>
      </c>
      <c r="C37" s="12" t="s">
        <v>100</v>
      </c>
      <c r="D37" s="12" t="s">
        <v>101</v>
      </c>
      <c r="E37" s="12" t="s">
        <v>162</v>
      </c>
      <c r="F37" s="13" t="n">
        <v>320</v>
      </c>
    </row>
    <row r="38" customFormat="false" ht="15" hidden="false" customHeight="false" outlineLevel="0" collapsed="false">
      <c r="A38" s="14" t="n">
        <v>46188</v>
      </c>
      <c r="B38" s="12" t="s">
        <v>90</v>
      </c>
      <c r="C38" s="12" t="s">
        <v>66</v>
      </c>
      <c r="D38" s="12" t="s">
        <v>101</v>
      </c>
      <c r="E38" s="12" t="s">
        <v>162</v>
      </c>
      <c r="F38" s="13" t="n">
        <v>385.85</v>
      </c>
    </row>
    <row r="39" customFormat="false" ht="15" hidden="false" customHeight="false" outlineLevel="0" collapsed="false">
      <c r="A39" s="14" t="n">
        <v>46188</v>
      </c>
      <c r="B39" s="12" t="s">
        <v>166</v>
      </c>
      <c r="C39" s="12" t="s">
        <v>103</v>
      </c>
      <c r="D39" s="12" t="s">
        <v>81</v>
      </c>
      <c r="E39" s="12" t="s">
        <v>162</v>
      </c>
      <c r="F39" s="13" t="n">
        <v>280</v>
      </c>
    </row>
    <row r="40" customFormat="false" ht="15" hidden="false" customHeight="false" outlineLevel="0" collapsed="false">
      <c r="A40" s="14" t="n">
        <v>46189</v>
      </c>
      <c r="B40" s="12" t="s">
        <v>84</v>
      </c>
      <c r="C40" s="12" t="s">
        <v>78</v>
      </c>
      <c r="D40" s="12" t="s">
        <v>101</v>
      </c>
      <c r="E40" s="12" t="s">
        <v>162</v>
      </c>
      <c r="F40" s="13" t="n">
        <v>120</v>
      </c>
    </row>
    <row r="41" customFormat="false" ht="15" hidden="false" customHeight="false" outlineLevel="0" collapsed="false">
      <c r="A41" s="14" t="n">
        <v>46191</v>
      </c>
      <c r="B41" s="12" t="s">
        <v>59</v>
      </c>
      <c r="C41" s="12" t="s">
        <v>60</v>
      </c>
      <c r="D41" s="12" t="s">
        <v>79</v>
      </c>
      <c r="E41" s="12" t="s">
        <v>162</v>
      </c>
      <c r="F41" s="13" t="n">
        <v>650</v>
      </c>
    </row>
    <row r="42" customFormat="false" ht="15" hidden="false" customHeight="false" outlineLevel="0" collapsed="false">
      <c r="A42" s="14" t="n">
        <v>46191</v>
      </c>
      <c r="B42" s="12" t="s">
        <v>69</v>
      </c>
      <c r="C42" s="12" t="s">
        <v>60</v>
      </c>
      <c r="D42" s="12" t="s">
        <v>81</v>
      </c>
      <c r="E42" s="12" t="s">
        <v>162</v>
      </c>
      <c r="F42" s="13" t="n">
        <v>280</v>
      </c>
    </row>
    <row r="43" customFormat="false" ht="15" hidden="false" customHeight="false" outlineLevel="0" collapsed="false">
      <c r="A43" s="14" t="n">
        <v>46191</v>
      </c>
      <c r="B43" s="12" t="s">
        <v>80</v>
      </c>
      <c r="C43" s="12" t="s">
        <v>78</v>
      </c>
      <c r="D43" s="12" t="s">
        <v>101</v>
      </c>
      <c r="E43" s="12" t="s">
        <v>162</v>
      </c>
      <c r="F43" s="13" t="n">
        <v>480</v>
      </c>
    </row>
    <row r="44" customFormat="false" ht="15" hidden="false" customHeight="false" outlineLevel="0" collapsed="false">
      <c r="A44" s="14" t="n">
        <v>46192</v>
      </c>
      <c r="B44" s="12" t="s">
        <v>55</v>
      </c>
      <c r="C44" s="12" t="s">
        <v>56</v>
      </c>
      <c r="D44" s="12" t="s">
        <v>81</v>
      </c>
      <c r="E44" s="12" t="s">
        <v>162</v>
      </c>
      <c r="F44" s="13" t="n">
        <v>55</v>
      </c>
    </row>
    <row r="45" customFormat="false" ht="15" hidden="false" customHeight="false" outlineLevel="0" collapsed="false">
      <c r="A45" s="14" t="n">
        <v>46192</v>
      </c>
      <c r="B45" s="12" t="s">
        <v>89</v>
      </c>
      <c r="C45" s="12" t="s">
        <v>66</v>
      </c>
      <c r="D45" s="12" t="s">
        <v>101</v>
      </c>
      <c r="E45" s="12" t="s">
        <v>162</v>
      </c>
      <c r="F45" s="13" t="n">
        <v>90</v>
      </c>
    </row>
    <row r="46" customFormat="false" ht="15" hidden="false" customHeight="false" outlineLevel="0" collapsed="false">
      <c r="A46" s="14" t="n">
        <v>46194</v>
      </c>
      <c r="B46" s="12" t="s">
        <v>74</v>
      </c>
      <c r="C46" s="12" t="s">
        <v>75</v>
      </c>
      <c r="D46" s="12" t="s">
        <v>81</v>
      </c>
      <c r="E46" s="12" t="s">
        <v>162</v>
      </c>
      <c r="F46" s="13" t="n">
        <v>179.03</v>
      </c>
    </row>
    <row r="47" customFormat="false" ht="15" hidden="false" customHeight="false" outlineLevel="0" collapsed="false">
      <c r="A47" s="14" t="n">
        <v>46195</v>
      </c>
      <c r="B47" s="12" t="s">
        <v>85</v>
      </c>
      <c r="C47" s="12" t="s">
        <v>86</v>
      </c>
      <c r="D47" s="12" t="s">
        <v>101</v>
      </c>
      <c r="E47" s="12" t="s">
        <v>162</v>
      </c>
      <c r="F47" s="13" t="n">
        <v>1652.3</v>
      </c>
    </row>
    <row r="48" customFormat="false" ht="15" hidden="false" customHeight="false" outlineLevel="0" collapsed="false">
      <c r="A48" s="14" t="n">
        <v>46196</v>
      </c>
      <c r="B48" s="12" t="s">
        <v>82</v>
      </c>
      <c r="C48" s="12" t="s">
        <v>78</v>
      </c>
      <c r="D48" s="12" t="s">
        <v>101</v>
      </c>
      <c r="E48" s="12" t="s">
        <v>162</v>
      </c>
      <c r="F48" s="13" t="n">
        <v>219.73</v>
      </c>
    </row>
    <row r="49" customFormat="false" ht="15" hidden="false" customHeight="false" outlineLevel="0" collapsed="false">
      <c r="A49" s="14" t="n">
        <v>46198</v>
      </c>
      <c r="B49" s="12" t="s">
        <v>88</v>
      </c>
      <c r="C49" s="12" t="s">
        <v>86</v>
      </c>
      <c r="D49" s="12" t="s">
        <v>101</v>
      </c>
      <c r="E49" s="12" t="s">
        <v>162</v>
      </c>
      <c r="F49" s="13" t="n">
        <v>614.68</v>
      </c>
    </row>
    <row r="50" customFormat="false" ht="15" hidden="false" customHeight="false" outlineLevel="0" collapsed="false">
      <c r="A50" s="14" t="n">
        <v>46200</v>
      </c>
      <c r="B50" s="12" t="s">
        <v>71</v>
      </c>
      <c r="C50" s="12" t="s">
        <v>63</v>
      </c>
      <c r="D50" s="12" t="s">
        <v>81</v>
      </c>
      <c r="E50" s="12" t="s">
        <v>162</v>
      </c>
      <c r="F50" s="13" t="n">
        <v>327.84</v>
      </c>
    </row>
    <row r="51" customFormat="false" ht="15" hidden="false" customHeight="false" outlineLevel="0" collapsed="false">
      <c r="A51" s="14" t="n">
        <v>46201</v>
      </c>
      <c r="B51" s="12" t="s">
        <v>61</v>
      </c>
      <c r="C51" s="12" t="s">
        <v>60</v>
      </c>
      <c r="D51" s="12" t="s">
        <v>79</v>
      </c>
      <c r="E51" s="12" t="s">
        <v>162</v>
      </c>
      <c r="F51" s="13" t="n">
        <v>120</v>
      </c>
    </row>
    <row r="52" customFormat="false" ht="15" hidden="false" customHeight="false" outlineLevel="0" collapsed="false">
      <c r="A52" s="14" t="n">
        <v>46206</v>
      </c>
      <c r="B52" s="12" t="s">
        <v>65</v>
      </c>
      <c r="C52" s="12" t="s">
        <v>66</v>
      </c>
      <c r="D52" s="12" t="s">
        <v>79</v>
      </c>
      <c r="E52" s="12" t="s">
        <v>162</v>
      </c>
      <c r="F52" s="13" t="n">
        <v>262.44</v>
      </c>
    </row>
    <row r="53" customFormat="false" ht="15" hidden="false" customHeight="false" outlineLevel="0" collapsed="false">
      <c r="A53" s="14" t="n">
        <v>46206</v>
      </c>
      <c r="B53" s="12" t="s">
        <v>85</v>
      </c>
      <c r="C53" s="12" t="s">
        <v>86</v>
      </c>
      <c r="D53" s="12" t="s">
        <v>101</v>
      </c>
      <c r="E53" s="12" t="s">
        <v>162</v>
      </c>
      <c r="F53" s="13" t="n">
        <v>1801.33</v>
      </c>
    </row>
    <row r="54" customFormat="false" ht="15" hidden="false" customHeight="false" outlineLevel="0" collapsed="false">
      <c r="A54" s="14" t="n">
        <v>46207</v>
      </c>
      <c r="B54" s="12" t="s">
        <v>74</v>
      </c>
      <c r="C54" s="12" t="s">
        <v>75</v>
      </c>
      <c r="D54" s="12" t="s">
        <v>81</v>
      </c>
      <c r="E54" s="12" t="s">
        <v>162</v>
      </c>
      <c r="F54" s="13" t="n">
        <v>204.95</v>
      </c>
    </row>
    <row r="55" customFormat="false" ht="15" hidden="false" customHeight="false" outlineLevel="0" collapsed="false">
      <c r="A55" s="14" t="n">
        <v>46208</v>
      </c>
      <c r="B55" s="12" t="s">
        <v>41</v>
      </c>
      <c r="C55" s="12" t="s">
        <v>42</v>
      </c>
      <c r="D55" s="12" t="s">
        <v>79</v>
      </c>
      <c r="E55" s="12" t="s">
        <v>163</v>
      </c>
      <c r="F55" s="13" t="n">
        <v>8200</v>
      </c>
    </row>
    <row r="56" customFormat="false" ht="15" hidden="false" customHeight="false" outlineLevel="0" collapsed="false">
      <c r="A56" s="14" t="n">
        <v>46208</v>
      </c>
      <c r="B56" s="12" t="s">
        <v>41</v>
      </c>
      <c r="C56" s="12" t="s">
        <v>42</v>
      </c>
      <c r="D56" s="12" t="s">
        <v>81</v>
      </c>
      <c r="E56" s="12" t="s">
        <v>163</v>
      </c>
      <c r="F56" s="13" t="n">
        <v>5800</v>
      </c>
    </row>
    <row r="57" customFormat="false" ht="15" hidden="false" customHeight="false" outlineLevel="0" collapsed="false">
      <c r="A57" s="14" t="n">
        <v>46208</v>
      </c>
      <c r="B57" s="12" t="s">
        <v>164</v>
      </c>
      <c r="C57" s="12" t="s">
        <v>75</v>
      </c>
      <c r="D57" s="12" t="s">
        <v>79</v>
      </c>
      <c r="E57" s="12" t="s">
        <v>162</v>
      </c>
      <c r="F57" s="13" t="n">
        <v>450</v>
      </c>
    </row>
    <row r="58" customFormat="false" ht="15" hidden="false" customHeight="false" outlineLevel="0" collapsed="false">
      <c r="A58" s="14" t="n">
        <v>46209</v>
      </c>
      <c r="B58" s="12" t="s">
        <v>61</v>
      </c>
      <c r="C58" s="12" t="s">
        <v>60</v>
      </c>
      <c r="D58" s="12" t="s">
        <v>79</v>
      </c>
      <c r="E58" s="12" t="s">
        <v>162</v>
      </c>
      <c r="F58" s="13" t="n">
        <v>120</v>
      </c>
    </row>
    <row r="59" customFormat="false" ht="15" hidden="false" customHeight="false" outlineLevel="0" collapsed="false">
      <c r="A59" s="14" t="n">
        <v>46209</v>
      </c>
      <c r="B59" s="12" t="s">
        <v>77</v>
      </c>
      <c r="C59" s="12" t="s">
        <v>78</v>
      </c>
      <c r="D59" s="12" t="s">
        <v>101</v>
      </c>
      <c r="E59" s="12" t="s">
        <v>162</v>
      </c>
      <c r="F59" s="13" t="n">
        <v>2100</v>
      </c>
    </row>
    <row r="60" customFormat="false" ht="15" hidden="false" customHeight="false" outlineLevel="0" collapsed="false">
      <c r="A60" s="14" t="n">
        <v>46211</v>
      </c>
      <c r="B60" s="12" t="s">
        <v>55</v>
      </c>
      <c r="C60" s="12" t="s">
        <v>56</v>
      </c>
      <c r="D60" s="12" t="s">
        <v>79</v>
      </c>
      <c r="E60" s="12" t="s">
        <v>162</v>
      </c>
      <c r="F60" s="13" t="n">
        <v>60</v>
      </c>
    </row>
    <row r="61" customFormat="false" ht="15" hidden="false" customHeight="false" outlineLevel="0" collapsed="false">
      <c r="A61" s="14" t="n">
        <v>46213</v>
      </c>
      <c r="B61" s="12" t="s">
        <v>165</v>
      </c>
      <c r="C61" s="12" t="s">
        <v>100</v>
      </c>
      <c r="D61" s="12" t="s">
        <v>101</v>
      </c>
      <c r="E61" s="12" t="s">
        <v>162</v>
      </c>
      <c r="F61" s="13" t="n">
        <v>320</v>
      </c>
    </row>
    <row r="62" customFormat="false" ht="15" hidden="false" customHeight="false" outlineLevel="0" collapsed="false">
      <c r="A62" s="14" t="n">
        <v>46214</v>
      </c>
      <c r="B62" s="12" t="s">
        <v>69</v>
      </c>
      <c r="C62" s="12" t="s">
        <v>60</v>
      </c>
      <c r="D62" s="12" t="s">
        <v>81</v>
      </c>
      <c r="E62" s="12" t="s">
        <v>162</v>
      </c>
      <c r="F62" s="13" t="n">
        <v>280</v>
      </c>
    </row>
    <row r="63" customFormat="false" ht="15" hidden="false" customHeight="false" outlineLevel="0" collapsed="false">
      <c r="A63" s="14" t="n">
        <v>46214</v>
      </c>
      <c r="B63" s="12" t="s">
        <v>82</v>
      </c>
      <c r="C63" s="12" t="s">
        <v>78</v>
      </c>
      <c r="D63" s="12" t="s">
        <v>101</v>
      </c>
      <c r="E63" s="12" t="s">
        <v>162</v>
      </c>
      <c r="F63" s="13" t="n">
        <v>229.01</v>
      </c>
    </row>
    <row r="64" customFormat="false" ht="15" hidden="false" customHeight="false" outlineLevel="0" collapsed="false">
      <c r="A64" s="14" t="n">
        <v>46214</v>
      </c>
      <c r="B64" s="12" t="s">
        <v>90</v>
      </c>
      <c r="C64" s="12" t="s">
        <v>66</v>
      </c>
      <c r="D64" s="12" t="s">
        <v>101</v>
      </c>
      <c r="E64" s="12" t="s">
        <v>162</v>
      </c>
      <c r="F64" s="13" t="n">
        <v>382.42</v>
      </c>
    </row>
    <row r="65" customFormat="false" ht="15" hidden="false" customHeight="false" outlineLevel="0" collapsed="false">
      <c r="A65" s="14" t="n">
        <v>46218</v>
      </c>
      <c r="B65" s="12" t="s">
        <v>45</v>
      </c>
      <c r="C65" s="12" t="s">
        <v>46</v>
      </c>
      <c r="D65" s="12" t="s">
        <v>79</v>
      </c>
      <c r="E65" s="12" t="s">
        <v>163</v>
      </c>
      <c r="F65" s="13" t="n">
        <v>1200</v>
      </c>
    </row>
    <row r="66" customFormat="false" ht="15" hidden="false" customHeight="false" outlineLevel="0" collapsed="false">
      <c r="A66" s="14" t="n">
        <v>46218</v>
      </c>
      <c r="B66" s="12" t="s">
        <v>166</v>
      </c>
      <c r="C66" s="12" t="s">
        <v>103</v>
      </c>
      <c r="D66" s="12" t="s">
        <v>81</v>
      </c>
      <c r="E66" s="12" t="s">
        <v>162</v>
      </c>
      <c r="F66" s="13" t="n">
        <v>280</v>
      </c>
    </row>
    <row r="67" customFormat="false" ht="15" hidden="false" customHeight="false" outlineLevel="0" collapsed="false">
      <c r="A67" s="14" t="n">
        <v>46219</v>
      </c>
      <c r="B67" s="12" t="s">
        <v>59</v>
      </c>
      <c r="C67" s="12" t="s">
        <v>60</v>
      </c>
      <c r="D67" s="12" t="s">
        <v>81</v>
      </c>
      <c r="E67" s="12" t="s">
        <v>162</v>
      </c>
      <c r="F67" s="13" t="n">
        <v>580</v>
      </c>
    </row>
    <row r="68" customFormat="false" ht="15" hidden="false" customHeight="false" outlineLevel="0" collapsed="false">
      <c r="A68" s="14" t="n">
        <v>46219</v>
      </c>
      <c r="B68" s="12" t="s">
        <v>83</v>
      </c>
      <c r="C68" s="12" t="s">
        <v>78</v>
      </c>
      <c r="D68" s="12" t="s">
        <v>101</v>
      </c>
      <c r="E68" s="12" t="s">
        <v>162</v>
      </c>
      <c r="F68" s="13" t="n">
        <v>138.42</v>
      </c>
    </row>
    <row r="69" customFormat="false" ht="15" hidden="false" customHeight="false" outlineLevel="0" collapsed="false">
      <c r="A69" s="14" t="n">
        <v>46220</v>
      </c>
      <c r="B69" s="12" t="s">
        <v>55</v>
      </c>
      <c r="C69" s="12" t="s">
        <v>56</v>
      </c>
      <c r="D69" s="12" t="s">
        <v>81</v>
      </c>
      <c r="E69" s="12" t="s">
        <v>162</v>
      </c>
      <c r="F69" s="13" t="n">
        <v>55</v>
      </c>
    </row>
    <row r="70" customFormat="false" ht="15" hidden="false" customHeight="false" outlineLevel="0" collapsed="false">
      <c r="A70" s="14" t="n">
        <v>46222</v>
      </c>
      <c r="B70" s="12" t="s">
        <v>88</v>
      </c>
      <c r="C70" s="12" t="s">
        <v>86</v>
      </c>
      <c r="D70" s="12" t="s">
        <v>101</v>
      </c>
      <c r="E70" s="12" t="s">
        <v>162</v>
      </c>
      <c r="F70" s="13" t="n">
        <v>738.16</v>
      </c>
    </row>
    <row r="71" customFormat="false" ht="15" hidden="false" customHeight="false" outlineLevel="0" collapsed="false">
      <c r="A71" s="14" t="n">
        <v>46223</v>
      </c>
      <c r="B71" s="12" t="s">
        <v>72</v>
      </c>
      <c r="C71" s="12" t="s">
        <v>73</v>
      </c>
      <c r="D71" s="12" t="s">
        <v>81</v>
      </c>
      <c r="E71" s="12" t="s">
        <v>162</v>
      </c>
      <c r="F71" s="13" t="n">
        <v>303.02</v>
      </c>
    </row>
    <row r="72" customFormat="false" ht="15" hidden="false" customHeight="false" outlineLevel="0" collapsed="false">
      <c r="A72" s="14" t="n">
        <v>46225</v>
      </c>
      <c r="B72" s="12" t="s">
        <v>84</v>
      </c>
      <c r="C72" s="12" t="s">
        <v>78</v>
      </c>
      <c r="D72" s="12" t="s">
        <v>101</v>
      </c>
      <c r="E72" s="12" t="s">
        <v>162</v>
      </c>
      <c r="F72" s="13" t="n">
        <v>120</v>
      </c>
    </row>
    <row r="73" customFormat="false" ht="15" hidden="false" customHeight="false" outlineLevel="0" collapsed="false">
      <c r="A73" s="14" t="n">
        <v>46226</v>
      </c>
      <c r="B73" s="12" t="s">
        <v>62</v>
      </c>
      <c r="C73" s="12" t="s">
        <v>63</v>
      </c>
      <c r="D73" s="12" t="s">
        <v>79</v>
      </c>
      <c r="E73" s="12" t="s">
        <v>162</v>
      </c>
      <c r="F73" s="13" t="n">
        <v>509.37</v>
      </c>
    </row>
    <row r="74" customFormat="false" ht="15" hidden="false" customHeight="false" outlineLevel="0" collapsed="false">
      <c r="A74" s="14" t="n">
        <v>46227</v>
      </c>
      <c r="B74" s="12" t="s">
        <v>71</v>
      </c>
      <c r="C74" s="12" t="s">
        <v>63</v>
      </c>
      <c r="D74" s="12" t="s">
        <v>81</v>
      </c>
      <c r="E74" s="12" t="s">
        <v>162</v>
      </c>
      <c r="F74" s="13" t="n">
        <v>299.86</v>
      </c>
    </row>
    <row r="75" customFormat="false" ht="15" hidden="false" customHeight="false" outlineLevel="0" collapsed="false">
      <c r="A75" s="14" t="n">
        <v>46228</v>
      </c>
      <c r="B75" s="12" t="s">
        <v>80</v>
      </c>
      <c r="C75" s="12" t="s">
        <v>78</v>
      </c>
      <c r="D75" s="12" t="s">
        <v>101</v>
      </c>
      <c r="E75" s="12" t="s">
        <v>162</v>
      </c>
      <c r="F75" s="13" t="n">
        <v>480</v>
      </c>
    </row>
    <row r="76" customFormat="false" ht="15" hidden="false" customHeight="false" outlineLevel="0" collapsed="false">
      <c r="A76" s="14" t="n">
        <v>46229</v>
      </c>
      <c r="B76" s="12" t="s">
        <v>59</v>
      </c>
      <c r="C76" s="12" t="s">
        <v>60</v>
      </c>
      <c r="D76" s="12" t="s">
        <v>79</v>
      </c>
      <c r="E76" s="12" t="s">
        <v>162</v>
      </c>
      <c r="F76" s="13" t="n">
        <v>650</v>
      </c>
    </row>
    <row r="77" customFormat="false" ht="15" hidden="false" customHeight="false" outlineLevel="0" collapsed="false">
      <c r="A77" s="14" t="n">
        <v>46230</v>
      </c>
      <c r="B77" s="12" t="s">
        <v>89</v>
      </c>
      <c r="C77" s="12" t="s">
        <v>66</v>
      </c>
      <c r="D77" s="12" t="s">
        <v>101</v>
      </c>
      <c r="E77" s="12" t="s">
        <v>162</v>
      </c>
      <c r="F77" s="13" t="n">
        <v>90</v>
      </c>
    </row>
    <row r="78" customFormat="false" ht="15" hidden="false" customHeight="false" outlineLevel="0" collapsed="false">
      <c r="A78" s="14" t="n">
        <v>46235</v>
      </c>
      <c r="B78" s="12" t="s">
        <v>85</v>
      </c>
      <c r="C78" s="12" t="s">
        <v>86</v>
      </c>
      <c r="D78" s="12" t="s">
        <v>101</v>
      </c>
      <c r="E78" s="12" t="s">
        <v>162</v>
      </c>
      <c r="F78" s="13" t="n">
        <v>1914.02</v>
      </c>
    </row>
    <row r="79" customFormat="false" ht="15" hidden="false" customHeight="false" outlineLevel="0" collapsed="false">
      <c r="A79" s="14" t="n">
        <v>46237</v>
      </c>
      <c r="B79" s="12" t="s">
        <v>65</v>
      </c>
      <c r="C79" s="12" t="s">
        <v>66</v>
      </c>
      <c r="D79" s="12" t="s">
        <v>79</v>
      </c>
      <c r="E79" s="12" t="s">
        <v>162</v>
      </c>
      <c r="F79" s="13" t="n">
        <v>289</v>
      </c>
    </row>
    <row r="80" customFormat="false" ht="15" hidden="false" customHeight="false" outlineLevel="0" collapsed="false">
      <c r="A80" s="14" t="n">
        <v>46238</v>
      </c>
      <c r="B80" s="12" t="s">
        <v>89</v>
      </c>
      <c r="C80" s="12" t="s">
        <v>66</v>
      </c>
      <c r="D80" s="12" t="s">
        <v>101</v>
      </c>
      <c r="E80" s="12" t="s">
        <v>162</v>
      </c>
      <c r="F80" s="13" t="n">
        <v>90</v>
      </c>
    </row>
    <row r="81" customFormat="false" ht="15" hidden="false" customHeight="false" outlineLevel="0" collapsed="false">
      <c r="A81" s="14" t="n">
        <v>46239</v>
      </c>
      <c r="B81" s="12" t="s">
        <v>41</v>
      </c>
      <c r="C81" s="12" t="s">
        <v>42</v>
      </c>
      <c r="D81" s="12" t="s">
        <v>79</v>
      </c>
      <c r="E81" s="12" t="s">
        <v>163</v>
      </c>
      <c r="F81" s="13" t="n">
        <v>8200</v>
      </c>
    </row>
    <row r="82" customFormat="false" ht="15" hidden="false" customHeight="false" outlineLevel="0" collapsed="false">
      <c r="A82" s="14" t="n">
        <v>46239</v>
      </c>
      <c r="B82" s="12" t="s">
        <v>41</v>
      </c>
      <c r="C82" s="12" t="s">
        <v>42</v>
      </c>
      <c r="D82" s="12" t="s">
        <v>81</v>
      </c>
      <c r="E82" s="12" t="s">
        <v>163</v>
      </c>
      <c r="F82" s="13" t="n">
        <v>5800</v>
      </c>
    </row>
    <row r="83" customFormat="false" ht="15" hidden="false" customHeight="false" outlineLevel="0" collapsed="false">
      <c r="A83" s="14" t="n">
        <v>46239</v>
      </c>
      <c r="B83" s="12" t="s">
        <v>164</v>
      </c>
      <c r="C83" s="12" t="s">
        <v>75</v>
      </c>
      <c r="D83" s="12" t="s">
        <v>79</v>
      </c>
      <c r="E83" s="12" t="s">
        <v>162</v>
      </c>
      <c r="F83" s="13" t="n">
        <v>450</v>
      </c>
    </row>
    <row r="84" customFormat="false" ht="15" hidden="false" customHeight="false" outlineLevel="0" collapsed="false">
      <c r="A84" s="14" t="n">
        <v>46243</v>
      </c>
      <c r="B84" s="12" t="s">
        <v>55</v>
      </c>
      <c r="C84" s="12" t="s">
        <v>56</v>
      </c>
      <c r="D84" s="12" t="s">
        <v>81</v>
      </c>
      <c r="E84" s="12" t="s">
        <v>162</v>
      </c>
      <c r="F84" s="13" t="n">
        <v>55</v>
      </c>
    </row>
    <row r="85" customFormat="false" ht="15" hidden="false" customHeight="false" outlineLevel="0" collapsed="false">
      <c r="A85" s="14" t="n">
        <v>46244</v>
      </c>
      <c r="B85" s="12" t="s">
        <v>165</v>
      </c>
      <c r="C85" s="12" t="s">
        <v>100</v>
      </c>
      <c r="D85" s="12" t="s">
        <v>101</v>
      </c>
      <c r="E85" s="12" t="s">
        <v>162</v>
      </c>
      <c r="F85" s="13" t="n">
        <v>320</v>
      </c>
    </row>
    <row r="86" customFormat="false" ht="15" hidden="false" customHeight="false" outlineLevel="0" collapsed="false">
      <c r="A86" s="14" t="n">
        <v>46246</v>
      </c>
      <c r="B86" s="12" t="s">
        <v>55</v>
      </c>
      <c r="C86" s="12" t="s">
        <v>56</v>
      </c>
      <c r="D86" s="12" t="s">
        <v>79</v>
      </c>
      <c r="E86" s="12" t="s">
        <v>162</v>
      </c>
      <c r="F86" s="13" t="n">
        <v>60</v>
      </c>
    </row>
    <row r="87" customFormat="false" ht="15" hidden="false" customHeight="false" outlineLevel="0" collapsed="false">
      <c r="A87" s="14" t="n">
        <v>46246</v>
      </c>
      <c r="B87" s="12" t="s">
        <v>84</v>
      </c>
      <c r="C87" s="12" t="s">
        <v>78</v>
      </c>
      <c r="D87" s="12" t="s">
        <v>101</v>
      </c>
      <c r="E87" s="12" t="s">
        <v>162</v>
      </c>
      <c r="F87" s="13" t="n">
        <v>120</v>
      </c>
    </row>
    <row r="88" customFormat="false" ht="15" hidden="false" customHeight="false" outlineLevel="0" collapsed="false">
      <c r="A88" s="14" t="n">
        <v>46246</v>
      </c>
      <c r="B88" s="12" t="s">
        <v>88</v>
      </c>
      <c r="C88" s="12" t="s">
        <v>86</v>
      </c>
      <c r="D88" s="12" t="s">
        <v>101</v>
      </c>
      <c r="E88" s="12" t="s">
        <v>162</v>
      </c>
      <c r="F88" s="13" t="n">
        <v>576.69</v>
      </c>
    </row>
    <row r="89" customFormat="false" ht="15" hidden="false" customHeight="false" outlineLevel="0" collapsed="false">
      <c r="A89" s="14" t="n">
        <v>46247</v>
      </c>
      <c r="B89" s="12" t="s">
        <v>83</v>
      </c>
      <c r="C89" s="12" t="s">
        <v>78</v>
      </c>
      <c r="D89" s="12" t="s">
        <v>101</v>
      </c>
      <c r="E89" s="12" t="s">
        <v>162</v>
      </c>
      <c r="F89" s="13" t="n">
        <v>164.47</v>
      </c>
    </row>
    <row r="90" customFormat="false" ht="15" hidden="false" customHeight="false" outlineLevel="0" collapsed="false">
      <c r="A90" s="14" t="n">
        <v>46249</v>
      </c>
      <c r="B90" s="12" t="s">
        <v>45</v>
      </c>
      <c r="C90" s="12" t="s">
        <v>46</v>
      </c>
      <c r="D90" s="12" t="s">
        <v>79</v>
      </c>
      <c r="E90" s="12" t="s">
        <v>163</v>
      </c>
      <c r="F90" s="13" t="n">
        <v>1200</v>
      </c>
    </row>
    <row r="91" customFormat="false" ht="15" hidden="false" customHeight="false" outlineLevel="0" collapsed="false">
      <c r="A91" s="14" t="n">
        <v>46249</v>
      </c>
      <c r="B91" s="12" t="s">
        <v>82</v>
      </c>
      <c r="C91" s="12" t="s">
        <v>78</v>
      </c>
      <c r="D91" s="12" t="s">
        <v>101</v>
      </c>
      <c r="E91" s="12" t="s">
        <v>162</v>
      </c>
      <c r="F91" s="13" t="n">
        <v>242.8</v>
      </c>
    </row>
    <row r="92" customFormat="false" ht="15" hidden="false" customHeight="false" outlineLevel="0" collapsed="false">
      <c r="A92" s="14" t="n">
        <v>46249</v>
      </c>
      <c r="B92" s="12" t="s">
        <v>166</v>
      </c>
      <c r="C92" s="12" t="s">
        <v>103</v>
      </c>
      <c r="D92" s="12" t="s">
        <v>81</v>
      </c>
      <c r="E92" s="12" t="s">
        <v>162</v>
      </c>
      <c r="F92" s="13" t="n">
        <v>280</v>
      </c>
    </row>
    <row r="93" customFormat="false" ht="15" hidden="false" customHeight="false" outlineLevel="0" collapsed="false">
      <c r="A93" s="14" t="n">
        <v>46250</v>
      </c>
      <c r="B93" s="12" t="s">
        <v>61</v>
      </c>
      <c r="C93" s="12" t="s">
        <v>60</v>
      </c>
      <c r="D93" s="12" t="s">
        <v>79</v>
      </c>
      <c r="E93" s="12" t="s">
        <v>162</v>
      </c>
      <c r="F93" s="13" t="n">
        <v>120</v>
      </c>
    </row>
    <row r="94" customFormat="false" ht="15" hidden="false" customHeight="false" outlineLevel="0" collapsed="false">
      <c r="A94" s="14" t="n">
        <v>46250</v>
      </c>
      <c r="B94" s="12" t="s">
        <v>59</v>
      </c>
      <c r="C94" s="12" t="s">
        <v>60</v>
      </c>
      <c r="D94" s="12" t="s">
        <v>81</v>
      </c>
      <c r="E94" s="12" t="s">
        <v>162</v>
      </c>
      <c r="F94" s="13" t="n">
        <v>580</v>
      </c>
    </row>
    <row r="95" customFormat="false" ht="15" hidden="false" customHeight="false" outlineLevel="0" collapsed="false">
      <c r="A95" s="14" t="n">
        <v>46250</v>
      </c>
      <c r="B95" s="12" t="s">
        <v>90</v>
      </c>
      <c r="C95" s="12" t="s">
        <v>66</v>
      </c>
      <c r="D95" s="12" t="s">
        <v>101</v>
      </c>
      <c r="E95" s="12" t="s">
        <v>162</v>
      </c>
      <c r="F95" s="13" t="n">
        <v>337.43</v>
      </c>
    </row>
    <row r="96" customFormat="false" ht="15" hidden="false" customHeight="false" outlineLevel="0" collapsed="false">
      <c r="A96" s="14" t="n">
        <v>46253</v>
      </c>
      <c r="B96" s="12" t="s">
        <v>62</v>
      </c>
      <c r="C96" s="12" t="s">
        <v>63</v>
      </c>
      <c r="D96" s="12" t="s">
        <v>79</v>
      </c>
      <c r="E96" s="12" t="s">
        <v>162</v>
      </c>
      <c r="F96" s="13" t="n">
        <v>512.44</v>
      </c>
    </row>
    <row r="97" customFormat="false" ht="15" hidden="false" customHeight="false" outlineLevel="0" collapsed="false">
      <c r="A97" s="14" t="n">
        <v>46254</v>
      </c>
      <c r="B97" s="12" t="s">
        <v>59</v>
      </c>
      <c r="C97" s="12" t="s">
        <v>60</v>
      </c>
      <c r="D97" s="12" t="s">
        <v>79</v>
      </c>
      <c r="E97" s="12" t="s">
        <v>162</v>
      </c>
      <c r="F97" s="13" t="n">
        <v>650</v>
      </c>
    </row>
    <row r="98" customFormat="false" ht="15" hidden="false" customHeight="false" outlineLevel="0" collapsed="false">
      <c r="A98" s="14" t="n">
        <v>46255</v>
      </c>
      <c r="B98" s="12" t="s">
        <v>74</v>
      </c>
      <c r="C98" s="12" t="s">
        <v>75</v>
      </c>
      <c r="D98" s="12" t="s">
        <v>81</v>
      </c>
      <c r="E98" s="12" t="s">
        <v>162</v>
      </c>
      <c r="F98" s="13" t="n">
        <v>210.24</v>
      </c>
    </row>
    <row r="99" customFormat="false" ht="15" hidden="false" customHeight="false" outlineLevel="0" collapsed="false">
      <c r="A99" s="14" t="n">
        <v>46256</v>
      </c>
      <c r="B99" s="12" t="s">
        <v>71</v>
      </c>
      <c r="C99" s="12" t="s">
        <v>63</v>
      </c>
      <c r="D99" s="12" t="s">
        <v>81</v>
      </c>
      <c r="E99" s="12" t="s">
        <v>162</v>
      </c>
      <c r="F99" s="13" t="n">
        <v>253.8</v>
      </c>
    </row>
    <row r="100" customFormat="false" ht="15" hidden="false" customHeight="false" outlineLevel="0" collapsed="false">
      <c r="A100" s="14" t="n">
        <v>46256</v>
      </c>
      <c r="B100" s="12" t="s">
        <v>77</v>
      </c>
      <c r="C100" s="12" t="s">
        <v>78</v>
      </c>
      <c r="D100" s="12" t="s">
        <v>101</v>
      </c>
      <c r="E100" s="12" t="s">
        <v>162</v>
      </c>
      <c r="F100" s="13" t="n">
        <v>2100</v>
      </c>
    </row>
    <row r="101" customFormat="false" ht="15" hidden="false" customHeight="false" outlineLevel="0" collapsed="false">
      <c r="A101" s="14" t="n">
        <v>46257</v>
      </c>
      <c r="B101" s="12" t="s">
        <v>69</v>
      </c>
      <c r="C101" s="12" t="s">
        <v>60</v>
      </c>
      <c r="D101" s="12" t="s">
        <v>81</v>
      </c>
      <c r="E101" s="12" t="s">
        <v>162</v>
      </c>
      <c r="F101" s="13" t="n">
        <v>280</v>
      </c>
    </row>
    <row r="102" customFormat="false" ht="15" hidden="false" customHeight="false" outlineLevel="0" collapsed="false">
      <c r="A102" s="14" t="n">
        <v>46258</v>
      </c>
      <c r="B102" s="12" t="s">
        <v>72</v>
      </c>
      <c r="C102" s="12" t="s">
        <v>73</v>
      </c>
      <c r="D102" s="12" t="s">
        <v>81</v>
      </c>
      <c r="E102" s="12" t="s">
        <v>162</v>
      </c>
      <c r="F102" s="13" t="n">
        <v>275.15</v>
      </c>
    </row>
    <row r="103" customFormat="false" ht="15" hidden="false" customHeight="false" outlineLevel="0" collapsed="false">
      <c r="A103" s="14" t="n">
        <v>46261</v>
      </c>
      <c r="B103" s="12" t="s">
        <v>80</v>
      </c>
      <c r="C103" s="12" t="s">
        <v>78</v>
      </c>
      <c r="D103" s="12" t="s">
        <v>101</v>
      </c>
      <c r="E103" s="12" t="s">
        <v>162</v>
      </c>
      <c r="F103" s="13" t="n">
        <v>480</v>
      </c>
    </row>
    <row r="104" customFormat="false" ht="15" hidden="false" customHeight="false" outlineLevel="0" collapsed="false">
      <c r="A104" s="14" t="n">
        <v>46268</v>
      </c>
      <c r="B104" s="12" t="s">
        <v>59</v>
      </c>
      <c r="C104" s="12" t="s">
        <v>60</v>
      </c>
      <c r="D104" s="12" t="s">
        <v>81</v>
      </c>
      <c r="E104" s="12" t="s">
        <v>162</v>
      </c>
      <c r="F104" s="13" t="n">
        <v>580</v>
      </c>
    </row>
    <row r="105" customFormat="false" ht="15" hidden="false" customHeight="false" outlineLevel="0" collapsed="false">
      <c r="A105" s="14" t="n">
        <v>46270</v>
      </c>
      <c r="B105" s="12" t="s">
        <v>41</v>
      </c>
      <c r="C105" s="12" t="s">
        <v>42</v>
      </c>
      <c r="D105" s="12" t="s">
        <v>79</v>
      </c>
      <c r="E105" s="12" t="s">
        <v>163</v>
      </c>
      <c r="F105" s="13" t="n">
        <v>8200</v>
      </c>
    </row>
    <row r="106" customFormat="false" ht="15" hidden="false" customHeight="false" outlineLevel="0" collapsed="false">
      <c r="A106" s="14" t="n">
        <v>46270</v>
      </c>
      <c r="B106" s="12" t="s">
        <v>41</v>
      </c>
      <c r="C106" s="12" t="s">
        <v>42</v>
      </c>
      <c r="D106" s="12" t="s">
        <v>81</v>
      </c>
      <c r="E106" s="12" t="s">
        <v>163</v>
      </c>
      <c r="F106" s="13" t="n">
        <v>5800</v>
      </c>
    </row>
    <row r="107" customFormat="false" ht="15" hidden="false" customHeight="false" outlineLevel="0" collapsed="false">
      <c r="A107" s="14" t="n">
        <v>46270</v>
      </c>
      <c r="B107" s="12" t="s">
        <v>61</v>
      </c>
      <c r="C107" s="12" t="s">
        <v>60</v>
      </c>
      <c r="D107" s="12" t="s">
        <v>79</v>
      </c>
      <c r="E107" s="12" t="s">
        <v>162</v>
      </c>
      <c r="F107" s="13" t="n">
        <v>120</v>
      </c>
    </row>
    <row r="108" customFormat="false" ht="15" hidden="false" customHeight="false" outlineLevel="0" collapsed="false">
      <c r="A108" s="14" t="n">
        <v>46270</v>
      </c>
      <c r="B108" s="12" t="s">
        <v>164</v>
      </c>
      <c r="C108" s="12" t="s">
        <v>75</v>
      </c>
      <c r="D108" s="12" t="s">
        <v>79</v>
      </c>
      <c r="E108" s="12" t="s">
        <v>162</v>
      </c>
      <c r="F108" s="13" t="n">
        <v>450</v>
      </c>
    </row>
    <row r="109" customFormat="false" ht="15" hidden="false" customHeight="false" outlineLevel="0" collapsed="false">
      <c r="A109" s="14" t="n">
        <v>46271</v>
      </c>
      <c r="B109" s="12" t="s">
        <v>69</v>
      </c>
      <c r="C109" s="12" t="s">
        <v>60</v>
      </c>
      <c r="D109" s="12" t="s">
        <v>81</v>
      </c>
      <c r="E109" s="12" t="s">
        <v>162</v>
      </c>
      <c r="F109" s="13" t="n">
        <v>280</v>
      </c>
    </row>
    <row r="110" customFormat="false" ht="15" hidden="false" customHeight="false" outlineLevel="0" collapsed="false">
      <c r="A110" s="14" t="n">
        <v>46271</v>
      </c>
      <c r="B110" s="12" t="s">
        <v>88</v>
      </c>
      <c r="C110" s="12" t="s">
        <v>86</v>
      </c>
      <c r="D110" s="12" t="s">
        <v>101</v>
      </c>
      <c r="E110" s="12" t="s">
        <v>162</v>
      </c>
      <c r="F110" s="13" t="n">
        <v>572.34</v>
      </c>
    </row>
    <row r="111" customFormat="false" ht="15" hidden="false" customHeight="false" outlineLevel="0" collapsed="false">
      <c r="A111" s="14" t="n">
        <v>46273</v>
      </c>
      <c r="B111" s="12" t="s">
        <v>85</v>
      </c>
      <c r="C111" s="12" t="s">
        <v>86</v>
      </c>
      <c r="D111" s="12" t="s">
        <v>101</v>
      </c>
      <c r="E111" s="12" t="s">
        <v>162</v>
      </c>
      <c r="F111" s="13" t="n">
        <v>1408.59</v>
      </c>
    </row>
    <row r="112" customFormat="false" ht="15" hidden="false" customHeight="false" outlineLevel="0" collapsed="false">
      <c r="A112" s="14" t="n">
        <v>46273</v>
      </c>
      <c r="B112" s="12" t="s">
        <v>90</v>
      </c>
      <c r="C112" s="12" t="s">
        <v>66</v>
      </c>
      <c r="D112" s="12" t="s">
        <v>101</v>
      </c>
      <c r="E112" s="12" t="s">
        <v>162</v>
      </c>
      <c r="F112" s="13" t="n">
        <v>329.93</v>
      </c>
    </row>
    <row r="113" customFormat="false" ht="15" hidden="false" customHeight="false" outlineLevel="0" collapsed="false">
      <c r="A113" s="14" t="n">
        <v>46274</v>
      </c>
      <c r="B113" s="12" t="s">
        <v>72</v>
      </c>
      <c r="C113" s="12" t="s">
        <v>73</v>
      </c>
      <c r="D113" s="12" t="s">
        <v>81</v>
      </c>
      <c r="E113" s="12" t="s">
        <v>162</v>
      </c>
      <c r="F113" s="13" t="n">
        <v>293.34</v>
      </c>
    </row>
    <row r="114" customFormat="false" ht="15" hidden="false" customHeight="false" outlineLevel="0" collapsed="false">
      <c r="A114" s="14" t="n">
        <v>46274</v>
      </c>
      <c r="B114" s="12" t="s">
        <v>80</v>
      </c>
      <c r="C114" s="12" t="s">
        <v>78</v>
      </c>
      <c r="D114" s="12" t="s">
        <v>101</v>
      </c>
      <c r="E114" s="12" t="s">
        <v>162</v>
      </c>
      <c r="F114" s="13" t="n">
        <v>480</v>
      </c>
    </row>
    <row r="115" customFormat="false" ht="15" hidden="false" customHeight="false" outlineLevel="0" collapsed="false">
      <c r="A115" s="14" t="n">
        <v>46275</v>
      </c>
      <c r="B115" s="12" t="s">
        <v>59</v>
      </c>
      <c r="C115" s="12" t="s">
        <v>60</v>
      </c>
      <c r="D115" s="12" t="s">
        <v>79</v>
      </c>
      <c r="E115" s="12" t="s">
        <v>162</v>
      </c>
      <c r="F115" s="13" t="n">
        <v>650</v>
      </c>
    </row>
    <row r="116" customFormat="false" ht="15" hidden="false" customHeight="false" outlineLevel="0" collapsed="false">
      <c r="A116" s="14" t="n">
        <v>46275</v>
      </c>
      <c r="B116" s="12" t="s">
        <v>165</v>
      </c>
      <c r="C116" s="12" t="s">
        <v>100</v>
      </c>
      <c r="D116" s="12" t="s">
        <v>101</v>
      </c>
      <c r="E116" s="12" t="s">
        <v>162</v>
      </c>
      <c r="F116" s="13" t="n">
        <v>320</v>
      </c>
    </row>
    <row r="117" customFormat="false" ht="15" hidden="false" customHeight="false" outlineLevel="0" collapsed="false">
      <c r="A117" s="14" t="n">
        <v>46277</v>
      </c>
      <c r="B117" s="12" t="s">
        <v>83</v>
      </c>
      <c r="C117" s="12" t="s">
        <v>78</v>
      </c>
      <c r="D117" s="12" t="s">
        <v>101</v>
      </c>
      <c r="E117" s="12" t="s">
        <v>162</v>
      </c>
      <c r="F117" s="13" t="n">
        <v>153.03</v>
      </c>
    </row>
    <row r="118" customFormat="false" ht="15" hidden="false" customHeight="false" outlineLevel="0" collapsed="false">
      <c r="A118" s="14" t="n">
        <v>46278</v>
      </c>
      <c r="B118" s="12" t="s">
        <v>65</v>
      </c>
      <c r="C118" s="12" t="s">
        <v>66</v>
      </c>
      <c r="D118" s="12" t="s">
        <v>79</v>
      </c>
      <c r="E118" s="12" t="s">
        <v>162</v>
      </c>
      <c r="F118" s="13" t="n">
        <v>296.68</v>
      </c>
    </row>
    <row r="119" customFormat="false" ht="15" hidden="false" customHeight="false" outlineLevel="0" collapsed="false">
      <c r="A119" s="14" t="n">
        <v>46278</v>
      </c>
      <c r="B119" s="12" t="s">
        <v>84</v>
      </c>
      <c r="C119" s="12" t="s">
        <v>78</v>
      </c>
      <c r="D119" s="12" t="s">
        <v>101</v>
      </c>
      <c r="E119" s="12" t="s">
        <v>162</v>
      </c>
      <c r="F119" s="13" t="n">
        <v>120</v>
      </c>
    </row>
    <row r="120" customFormat="false" ht="15" hidden="false" customHeight="false" outlineLevel="0" collapsed="false">
      <c r="A120" s="14" t="n">
        <v>46280</v>
      </c>
      <c r="B120" s="12" t="s">
        <v>45</v>
      </c>
      <c r="C120" s="12" t="s">
        <v>46</v>
      </c>
      <c r="D120" s="12" t="s">
        <v>79</v>
      </c>
      <c r="E120" s="12" t="s">
        <v>163</v>
      </c>
      <c r="F120" s="13" t="n">
        <v>1200</v>
      </c>
    </row>
    <row r="121" customFormat="false" ht="15" hidden="false" customHeight="false" outlineLevel="0" collapsed="false">
      <c r="A121" s="14" t="n">
        <v>46280</v>
      </c>
      <c r="B121" s="12" t="s">
        <v>71</v>
      </c>
      <c r="C121" s="12" t="s">
        <v>63</v>
      </c>
      <c r="D121" s="12" t="s">
        <v>81</v>
      </c>
      <c r="E121" s="12" t="s">
        <v>162</v>
      </c>
      <c r="F121" s="13" t="n">
        <v>294.2</v>
      </c>
    </row>
    <row r="122" customFormat="false" ht="15" hidden="false" customHeight="false" outlineLevel="0" collapsed="false">
      <c r="A122" s="14" t="n">
        <v>46280</v>
      </c>
      <c r="B122" s="12" t="s">
        <v>166</v>
      </c>
      <c r="C122" s="12" t="s">
        <v>103</v>
      </c>
      <c r="D122" s="12" t="s">
        <v>81</v>
      </c>
      <c r="E122" s="12" t="s">
        <v>162</v>
      </c>
      <c r="F122" s="13" t="n">
        <v>280</v>
      </c>
    </row>
    <row r="123" customFormat="false" ht="15" hidden="false" customHeight="false" outlineLevel="0" collapsed="false">
      <c r="A123" s="14" t="n">
        <v>46281</v>
      </c>
      <c r="B123" s="12" t="s">
        <v>55</v>
      </c>
      <c r="C123" s="12" t="s">
        <v>56</v>
      </c>
      <c r="D123" s="12" t="s">
        <v>81</v>
      </c>
      <c r="E123" s="12" t="s">
        <v>162</v>
      </c>
      <c r="F123" s="13" t="n">
        <v>55</v>
      </c>
    </row>
    <row r="124" customFormat="false" ht="15" hidden="false" customHeight="false" outlineLevel="0" collapsed="false">
      <c r="A124" s="14" t="n">
        <v>46283</v>
      </c>
      <c r="B124" s="12" t="s">
        <v>77</v>
      </c>
      <c r="C124" s="12" t="s">
        <v>78</v>
      </c>
      <c r="D124" s="12" t="s">
        <v>101</v>
      </c>
      <c r="E124" s="12" t="s">
        <v>162</v>
      </c>
      <c r="F124" s="13" t="n">
        <v>2100</v>
      </c>
    </row>
    <row r="125" customFormat="false" ht="15" hidden="false" customHeight="false" outlineLevel="0" collapsed="false">
      <c r="A125" s="14" t="n">
        <v>46287</v>
      </c>
      <c r="B125" s="12" t="s">
        <v>89</v>
      </c>
      <c r="C125" s="12" t="s">
        <v>66</v>
      </c>
      <c r="D125" s="12" t="s">
        <v>101</v>
      </c>
      <c r="E125" s="12" t="s">
        <v>162</v>
      </c>
      <c r="F125" s="13" t="n">
        <v>90</v>
      </c>
    </row>
    <row r="126" customFormat="false" ht="15" hidden="false" customHeight="false" outlineLevel="0" collapsed="false">
      <c r="A126" s="14" t="n">
        <v>46288</v>
      </c>
      <c r="B126" s="12" t="s">
        <v>82</v>
      </c>
      <c r="C126" s="12" t="s">
        <v>78</v>
      </c>
      <c r="D126" s="12" t="s">
        <v>101</v>
      </c>
      <c r="E126" s="12" t="s">
        <v>162</v>
      </c>
      <c r="F126" s="13" t="n">
        <v>256.39</v>
      </c>
    </row>
    <row r="127" customFormat="false" ht="15" hidden="false" customHeight="false" outlineLevel="0" collapsed="false">
      <c r="A127" s="14" t="n">
        <v>46289</v>
      </c>
      <c r="B127" s="12" t="s">
        <v>62</v>
      </c>
      <c r="C127" s="12" t="s">
        <v>63</v>
      </c>
      <c r="D127" s="12" t="s">
        <v>79</v>
      </c>
      <c r="E127" s="12" t="s">
        <v>162</v>
      </c>
      <c r="F127" s="13" t="n">
        <v>413.57</v>
      </c>
    </row>
    <row r="128" customFormat="false" ht="15" hidden="false" customHeight="false" outlineLevel="0" collapsed="false">
      <c r="A128" s="14" t="n">
        <v>46290</v>
      </c>
      <c r="B128" s="12" t="s">
        <v>55</v>
      </c>
      <c r="C128" s="12" t="s">
        <v>56</v>
      </c>
      <c r="D128" s="12" t="s">
        <v>79</v>
      </c>
      <c r="E128" s="12" t="s">
        <v>162</v>
      </c>
      <c r="F128" s="13" t="n">
        <v>60</v>
      </c>
    </row>
    <row r="129" customFormat="false" ht="15" hidden="false" customHeight="false" outlineLevel="0" collapsed="false">
      <c r="A129" s="14" t="n">
        <v>46292</v>
      </c>
      <c r="B129" s="12" t="s">
        <v>74</v>
      </c>
      <c r="C129" s="12" t="s">
        <v>75</v>
      </c>
      <c r="D129" s="12" t="s">
        <v>81</v>
      </c>
      <c r="E129" s="12" t="s">
        <v>162</v>
      </c>
      <c r="F129" s="13" t="n">
        <v>198.44</v>
      </c>
    </row>
    <row r="130" customFormat="false" ht="15" hidden="false" customHeight="false" outlineLevel="0" collapsed="false">
      <c r="A130" s="14" t="n">
        <v>46297</v>
      </c>
      <c r="B130" s="12" t="s">
        <v>74</v>
      </c>
      <c r="C130" s="12" t="s">
        <v>75</v>
      </c>
      <c r="D130" s="12" t="s">
        <v>81</v>
      </c>
      <c r="E130" s="12" t="s">
        <v>162</v>
      </c>
      <c r="F130" s="13" t="n">
        <v>200.53</v>
      </c>
    </row>
    <row r="131" customFormat="false" ht="15" hidden="false" customHeight="false" outlineLevel="0" collapsed="false">
      <c r="A131" s="14" t="n">
        <v>46297</v>
      </c>
      <c r="B131" s="12" t="s">
        <v>85</v>
      </c>
      <c r="C131" s="12" t="s">
        <v>86</v>
      </c>
      <c r="D131" s="12" t="s">
        <v>101</v>
      </c>
      <c r="E131" s="12" t="s">
        <v>162</v>
      </c>
      <c r="F131" s="13" t="n">
        <v>1433.99</v>
      </c>
    </row>
    <row r="132" customFormat="false" ht="15" hidden="false" customHeight="false" outlineLevel="0" collapsed="false">
      <c r="A132" s="14" t="n">
        <v>46299</v>
      </c>
      <c r="B132" s="12" t="s">
        <v>83</v>
      </c>
      <c r="C132" s="12" t="s">
        <v>78</v>
      </c>
      <c r="D132" s="12" t="s">
        <v>101</v>
      </c>
      <c r="E132" s="12" t="s">
        <v>162</v>
      </c>
      <c r="F132" s="13" t="n">
        <v>141.77</v>
      </c>
    </row>
    <row r="133" customFormat="false" ht="15" hidden="false" customHeight="false" outlineLevel="0" collapsed="false">
      <c r="A133" s="14" t="n">
        <v>46299</v>
      </c>
      <c r="B133" s="12" t="s">
        <v>89</v>
      </c>
      <c r="C133" s="12" t="s">
        <v>66</v>
      </c>
      <c r="D133" s="12" t="s">
        <v>101</v>
      </c>
      <c r="E133" s="12" t="s">
        <v>162</v>
      </c>
      <c r="F133" s="13" t="n">
        <v>90</v>
      </c>
    </row>
    <row r="134" customFormat="false" ht="15" hidden="false" customHeight="false" outlineLevel="0" collapsed="false">
      <c r="A134" s="14" t="n">
        <v>46300</v>
      </c>
      <c r="B134" s="12" t="s">
        <v>41</v>
      </c>
      <c r="C134" s="12" t="s">
        <v>42</v>
      </c>
      <c r="D134" s="12" t="s">
        <v>79</v>
      </c>
      <c r="E134" s="12" t="s">
        <v>163</v>
      </c>
      <c r="F134" s="13" t="n">
        <v>8200</v>
      </c>
    </row>
    <row r="135" customFormat="false" ht="15" hidden="false" customHeight="false" outlineLevel="0" collapsed="false">
      <c r="A135" s="14" t="n">
        <v>46300</v>
      </c>
      <c r="B135" s="12" t="s">
        <v>41</v>
      </c>
      <c r="C135" s="12" t="s">
        <v>42</v>
      </c>
      <c r="D135" s="12" t="s">
        <v>81</v>
      </c>
      <c r="E135" s="12" t="s">
        <v>163</v>
      </c>
      <c r="F135" s="13" t="n">
        <v>5800</v>
      </c>
    </row>
    <row r="136" customFormat="false" ht="15" hidden="false" customHeight="false" outlineLevel="0" collapsed="false">
      <c r="A136" s="14" t="n">
        <v>46300</v>
      </c>
      <c r="B136" s="12" t="s">
        <v>71</v>
      </c>
      <c r="C136" s="12" t="s">
        <v>63</v>
      </c>
      <c r="D136" s="12" t="s">
        <v>81</v>
      </c>
      <c r="E136" s="12" t="s">
        <v>162</v>
      </c>
      <c r="F136" s="13" t="n">
        <v>328.86</v>
      </c>
    </row>
    <row r="137" customFormat="false" ht="15" hidden="false" customHeight="false" outlineLevel="0" collapsed="false">
      <c r="A137" s="14" t="n">
        <v>46300</v>
      </c>
      <c r="B137" s="12" t="s">
        <v>164</v>
      </c>
      <c r="C137" s="12" t="s">
        <v>75</v>
      </c>
      <c r="D137" s="12" t="s">
        <v>79</v>
      </c>
      <c r="E137" s="12" t="s">
        <v>162</v>
      </c>
      <c r="F137" s="13" t="n">
        <v>450</v>
      </c>
    </row>
    <row r="138" customFormat="false" ht="15" hidden="false" customHeight="false" outlineLevel="0" collapsed="false">
      <c r="A138" s="14" t="n">
        <v>46301</v>
      </c>
      <c r="B138" s="12" t="s">
        <v>59</v>
      </c>
      <c r="C138" s="12" t="s">
        <v>60</v>
      </c>
      <c r="D138" s="12" t="s">
        <v>79</v>
      </c>
      <c r="E138" s="12" t="s">
        <v>162</v>
      </c>
      <c r="F138" s="13" t="n">
        <v>650</v>
      </c>
    </row>
    <row r="139" customFormat="false" ht="15" hidden="false" customHeight="false" outlineLevel="0" collapsed="false">
      <c r="A139" s="14" t="n">
        <v>46302</v>
      </c>
      <c r="B139" s="12" t="s">
        <v>88</v>
      </c>
      <c r="C139" s="12" t="s">
        <v>86</v>
      </c>
      <c r="D139" s="12" t="s">
        <v>101</v>
      </c>
      <c r="E139" s="12" t="s">
        <v>162</v>
      </c>
      <c r="F139" s="13" t="n">
        <v>647.56</v>
      </c>
    </row>
    <row r="140" customFormat="false" ht="15" hidden="false" customHeight="false" outlineLevel="0" collapsed="false">
      <c r="A140" s="14" t="n">
        <v>46304</v>
      </c>
      <c r="B140" s="12" t="s">
        <v>61</v>
      </c>
      <c r="C140" s="12" t="s">
        <v>60</v>
      </c>
      <c r="D140" s="12" t="s">
        <v>79</v>
      </c>
      <c r="E140" s="12" t="s">
        <v>162</v>
      </c>
      <c r="F140" s="13" t="n">
        <v>120</v>
      </c>
    </row>
    <row r="141" customFormat="false" ht="15" hidden="false" customHeight="false" outlineLevel="0" collapsed="false">
      <c r="A141" s="14" t="n">
        <v>46305</v>
      </c>
      <c r="B141" s="12" t="s">
        <v>62</v>
      </c>
      <c r="C141" s="12" t="s">
        <v>63</v>
      </c>
      <c r="D141" s="12" t="s">
        <v>79</v>
      </c>
      <c r="E141" s="12" t="s">
        <v>162</v>
      </c>
      <c r="F141" s="13" t="n">
        <v>369.74</v>
      </c>
    </row>
    <row r="142" customFormat="false" ht="15" hidden="false" customHeight="false" outlineLevel="0" collapsed="false">
      <c r="A142" s="14" t="n">
        <v>46305</v>
      </c>
      <c r="B142" s="12" t="s">
        <v>165</v>
      </c>
      <c r="C142" s="12" t="s">
        <v>100</v>
      </c>
      <c r="D142" s="12" t="s">
        <v>101</v>
      </c>
      <c r="E142" s="12" t="s">
        <v>162</v>
      </c>
      <c r="F142" s="13" t="n">
        <v>320</v>
      </c>
    </row>
    <row r="143" customFormat="false" ht="15" hidden="false" customHeight="false" outlineLevel="0" collapsed="false">
      <c r="A143" s="14" t="n">
        <v>46306</v>
      </c>
      <c r="B143" s="12" t="s">
        <v>69</v>
      </c>
      <c r="C143" s="12" t="s">
        <v>60</v>
      </c>
      <c r="D143" s="12" t="s">
        <v>81</v>
      </c>
      <c r="E143" s="12" t="s">
        <v>162</v>
      </c>
      <c r="F143" s="13" t="n">
        <v>280</v>
      </c>
    </row>
    <row r="144" customFormat="false" ht="15" hidden="false" customHeight="false" outlineLevel="0" collapsed="false">
      <c r="A144" s="14" t="n">
        <v>46306</v>
      </c>
      <c r="B144" s="12" t="s">
        <v>90</v>
      </c>
      <c r="C144" s="12" t="s">
        <v>66</v>
      </c>
      <c r="D144" s="12" t="s">
        <v>101</v>
      </c>
      <c r="E144" s="12" t="s">
        <v>162</v>
      </c>
      <c r="F144" s="13" t="n">
        <v>424.12</v>
      </c>
    </row>
    <row r="145" customFormat="false" ht="15" hidden="false" customHeight="false" outlineLevel="0" collapsed="false">
      <c r="A145" s="14" t="n">
        <v>46308</v>
      </c>
      <c r="B145" s="12" t="s">
        <v>80</v>
      </c>
      <c r="C145" s="12" t="s">
        <v>78</v>
      </c>
      <c r="D145" s="12" t="s">
        <v>101</v>
      </c>
      <c r="E145" s="12" t="s">
        <v>162</v>
      </c>
      <c r="F145" s="13" t="n">
        <v>480</v>
      </c>
    </row>
    <row r="146" customFormat="false" ht="15" hidden="false" customHeight="false" outlineLevel="0" collapsed="false">
      <c r="A146" s="14" t="n">
        <v>46308</v>
      </c>
      <c r="B146" s="12" t="s">
        <v>82</v>
      </c>
      <c r="C146" s="12" t="s">
        <v>78</v>
      </c>
      <c r="D146" s="12" t="s">
        <v>101</v>
      </c>
      <c r="E146" s="12" t="s">
        <v>162</v>
      </c>
      <c r="F146" s="13" t="n">
        <v>254.69</v>
      </c>
    </row>
    <row r="147" customFormat="false" ht="15" hidden="false" customHeight="false" outlineLevel="0" collapsed="false">
      <c r="A147" s="14" t="n">
        <v>46308</v>
      </c>
      <c r="B147" s="12" t="s">
        <v>84</v>
      </c>
      <c r="C147" s="12" t="s">
        <v>78</v>
      </c>
      <c r="D147" s="12" t="s">
        <v>101</v>
      </c>
      <c r="E147" s="12" t="s">
        <v>162</v>
      </c>
      <c r="F147" s="13" t="n">
        <v>120</v>
      </c>
    </row>
    <row r="148" customFormat="false" ht="15" hidden="false" customHeight="false" outlineLevel="0" collapsed="false">
      <c r="A148" s="14" t="n">
        <v>46309</v>
      </c>
      <c r="B148" s="12" t="s">
        <v>65</v>
      </c>
      <c r="C148" s="12" t="s">
        <v>66</v>
      </c>
      <c r="D148" s="12" t="s">
        <v>79</v>
      </c>
      <c r="E148" s="12" t="s">
        <v>162</v>
      </c>
      <c r="F148" s="13" t="n">
        <v>258.46</v>
      </c>
    </row>
    <row r="149" customFormat="false" ht="15" hidden="false" customHeight="false" outlineLevel="0" collapsed="false">
      <c r="A149" s="14" t="n">
        <v>46310</v>
      </c>
      <c r="B149" s="12" t="s">
        <v>45</v>
      </c>
      <c r="C149" s="12" t="s">
        <v>46</v>
      </c>
      <c r="D149" s="12" t="s">
        <v>79</v>
      </c>
      <c r="E149" s="12" t="s">
        <v>163</v>
      </c>
      <c r="F149" s="13" t="n">
        <v>1200</v>
      </c>
    </row>
    <row r="150" customFormat="false" ht="15" hidden="false" customHeight="false" outlineLevel="0" collapsed="false">
      <c r="A150" s="14" t="n">
        <v>46310</v>
      </c>
      <c r="B150" s="12" t="s">
        <v>166</v>
      </c>
      <c r="C150" s="12" t="s">
        <v>103</v>
      </c>
      <c r="D150" s="12" t="s">
        <v>81</v>
      </c>
      <c r="E150" s="12" t="s">
        <v>162</v>
      </c>
      <c r="F150" s="13" t="n">
        <v>280</v>
      </c>
    </row>
    <row r="151" customFormat="false" ht="15" hidden="false" customHeight="false" outlineLevel="0" collapsed="false">
      <c r="A151" s="14" t="n">
        <v>46312</v>
      </c>
      <c r="B151" s="12" t="s">
        <v>72</v>
      </c>
      <c r="C151" s="12" t="s">
        <v>73</v>
      </c>
      <c r="D151" s="12" t="s">
        <v>81</v>
      </c>
      <c r="E151" s="12" t="s">
        <v>162</v>
      </c>
      <c r="F151" s="13" t="n">
        <v>300.02</v>
      </c>
    </row>
    <row r="152" customFormat="false" ht="15" hidden="false" customHeight="false" outlineLevel="0" collapsed="false">
      <c r="A152" s="14" t="n">
        <v>46313</v>
      </c>
      <c r="B152" s="12" t="s">
        <v>77</v>
      </c>
      <c r="C152" s="12" t="s">
        <v>78</v>
      </c>
      <c r="D152" s="12" t="s">
        <v>101</v>
      </c>
      <c r="E152" s="12" t="s">
        <v>162</v>
      </c>
      <c r="F152" s="13" t="n">
        <v>2100</v>
      </c>
    </row>
    <row r="153" customFormat="false" ht="15" hidden="false" customHeight="false" outlineLevel="0" collapsed="false">
      <c r="A153" s="14" t="n">
        <v>46314</v>
      </c>
      <c r="B153" s="12" t="s">
        <v>55</v>
      </c>
      <c r="C153" s="12" t="s">
        <v>56</v>
      </c>
      <c r="D153" s="12" t="s">
        <v>79</v>
      </c>
      <c r="E153" s="12" t="s">
        <v>162</v>
      </c>
      <c r="F153" s="13" t="n">
        <v>60</v>
      </c>
    </row>
    <row r="154" customFormat="false" ht="15" hidden="false" customHeight="false" outlineLevel="0" collapsed="false">
      <c r="A154" s="14" t="n">
        <v>46314</v>
      </c>
      <c r="B154" s="12" t="s">
        <v>59</v>
      </c>
      <c r="C154" s="12" t="s">
        <v>60</v>
      </c>
      <c r="D154" s="12" t="s">
        <v>81</v>
      </c>
      <c r="E154" s="12" t="s">
        <v>162</v>
      </c>
      <c r="F154" s="13" t="n">
        <v>580</v>
      </c>
    </row>
    <row r="155" customFormat="false" ht="15" hidden="false" customHeight="false" outlineLevel="0" collapsed="false">
      <c r="A155" s="14" t="n">
        <v>46315</v>
      </c>
      <c r="B155" s="12" t="s">
        <v>55</v>
      </c>
      <c r="C155" s="12" t="s">
        <v>56</v>
      </c>
      <c r="D155" s="12" t="s">
        <v>81</v>
      </c>
      <c r="E155" s="12" t="s">
        <v>162</v>
      </c>
      <c r="F155" s="13" t="n">
        <v>55</v>
      </c>
    </row>
  </sheetData>
  <dataValidations count="2">
    <dataValidation allowBlank="true" errorStyle="stop" operator="between" showDropDown="false" showErrorMessage="false" showInputMessage="false" sqref="D2:D454" type="list">
      <formula1>"Rodrigo,Esposa,Casal"</formula1>
      <formula2>0</formula2>
    </dataValidation>
    <dataValidation allowBlank="true" errorStyle="stop" operator="between" showDropDown="false" showErrorMessage="false" showInputMessage="false" sqref="E2:E454" type="list">
      <formula1>"Receita,Despesa"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2026-10-20T20:28:02Z</dcterms:created>
  <dc:creator>openpyxl</dc:creator>
  <dc:description/>
  <dc:language>en-US</dc:language>
  <cp:lastModifiedBy/>
  <dcterms:modified xsi:type="dcterms:W3CDTF">2026-10-20T20:28:02Z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